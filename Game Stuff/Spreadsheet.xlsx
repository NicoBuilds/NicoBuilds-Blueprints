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Jund Pyroclast\Game Stuff\"/>
    </mc:Choice>
  </mc:AlternateContent>
  <xr:revisionPtr revIDLastSave="0" documentId="13_ncr:1_{1F82A9D1-D18A-4DB9-9A31-29A05C66C190}" xr6:coauthVersionLast="47" xr6:coauthVersionMax="47" xr10:uidLastSave="{00000000-0000-0000-0000-000000000000}"/>
  <bookViews>
    <workbookView xWindow="45972" yWindow="-4944" windowWidth="17496" windowHeight="30216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Kaladesh Refinery" sheetId="11" r:id="rId10"/>
    <sheet name="The Abyssal Chains of Shandalar" sheetId="12" r:id="rId11"/>
    <sheet name="Riveteers District" sheetId="13" r:id="rId12"/>
    <sheet name="Phyrexian Datavault" sheetId="14" r:id="rId13"/>
    <sheet name="Jund Pyroclast" sheetId="1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P20" i="3"/>
</calcChain>
</file>

<file path=xl/sharedStrings.xml><?xml version="1.0" encoding="utf-8"?>
<sst xmlns="http://schemas.openxmlformats.org/spreadsheetml/2006/main" count="717" uniqueCount="187">
  <si>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</si>
  <si>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</si>
  <si>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</si>
  <si>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</si>
  <si>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</si>
  <si>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</si>
  <si>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</si>
  <si>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</si>
  <si>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</si>
  <si>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</si>
  <si>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</si>
  <si>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</si>
  <si>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</si>
  <si>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</si>
  <si>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</si>
  <si>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</si>
  <si>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</si>
  <si>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</si>
  <si>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</si>
  <si>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</si>
  <si>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</si>
  <si>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</si>
  <si>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</si>
  <si>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</si>
  <si>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</si>
  <si>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</si>
  <si>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</si>
  <si>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</si>
  <si>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</si>
  <si>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</si>
  <si>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</si>
  <si>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</si>
  <si>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</si>
  <si>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</si>
  <si>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</si>
  <si>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</si>
  <si>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</si>
  <si>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</si>
  <si>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</si>
  <si>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</si>
  <si>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</si>
  <si>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</si>
  <si>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</si>
  <si>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</si>
  <si>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</si>
  <si>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</si>
  <si>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</si>
  <si>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</si>
  <si>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</si>
  <si>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</si>
  <si>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</si>
  <si>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</si>
  <si>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</si>
  <si>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</si>
  <si>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</si>
  <si>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</si>
  <si>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</si>
  <si>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</si>
  <si>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</si>
  <si>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</si>
  <si>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</si>
  <si>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</si>
  <si>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</si>
  <si>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</si>
  <si>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</si>
  <si>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</si>
  <si>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</si>
  <si>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</si>
  <si>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</si>
  <si>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</si>
  <si>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</si>
  <si>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</si>
  <si>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</si>
  <si>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</si>
  <si>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</si>
  <si>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</si>
  <si>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</si>
  <si>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</si>
  <si>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</si>
  <si>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</si>
  <si>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</si>
  <si>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</si>
  <si>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</si>
  <si>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822.8 MW</t>
  </si>
  <si>
    <t>-822.8 MW</t>
  </si>
  <si>
    <t>13.1 GWh</t>
  </si>
  <si>
    <t>15.92 Hours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</si>
  <si>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</si>
  <si>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</si>
  <si>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</si>
  <si>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</si>
  <si>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</si>
  <si>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</si>
  <si>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</si>
  <si>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</si>
  <si>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</si>
  <si>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</si>
  <si>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</si>
  <si>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</si>
  <si>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</si>
  <si>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</si>
  <si>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</si>
  <si>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</si>
  <si>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</si>
  <si>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</si>
  <si>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</si>
  <si>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</si>
  <si>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</si>
  <si>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</si>
  <si>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</si>
  <si>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</si>
  <si>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</si>
  <si>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</si>
  <si>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</si>
  <si>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</si>
  <si>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</si>
  <si>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</si>
  <si>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</si>
  <si>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</si>
  <si>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</si>
  <si>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</si>
  <si>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</si>
  <si>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</si>
  <si>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</si>
  <si>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</si>
  <si>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</si>
  <si>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</si>
  <si>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</si>
  <si>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</si>
  <si>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</si>
  <si>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</si>
  <si>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</si>
  <si>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</si>
  <si>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</si>
  <si>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</si>
  <si>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</si>
  <si>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</si>
  <si>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</si>
  <si>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</si>
  <si>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</si>
  <si>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</si>
  <si>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</si>
  <si>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</si>
  <si>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</si>
  <si>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</si>
  <si>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</si>
  <si>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</si>
  <si>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</si>
  <si>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</si>
  <si>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</si>
  <si>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</si>
  <si>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</si>
  <si>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</si>
  <si>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</si>
  <si>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</si>
  <si>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Quartz Crystal Line going to Phyrexian Datavault has an extra 459.75</t>
  </si>
  <si>
    <t>Rubber Line going to Phyrexian Datavault has an extra 257.5</t>
  </si>
  <si>
    <t>Plastic Line going to Phyrexian Datavault has an extra 126.333</t>
  </si>
  <si>
    <t>Silica Line going to Phyrexian Datavault has an extra 29.40555</t>
  </si>
  <si>
    <t>Top belt going to Riveteers and Phyrexian Datavault district has an extra 116.666 Copper</t>
  </si>
  <si>
    <t>Bottom belt going to  Phyrexian Datavault district has an extra 79.017 Copper</t>
  </si>
  <si>
    <t>Middle belt going to  Phyrexian Datavault district has an extra 174 Copper</t>
  </si>
  <si>
    <t>Kaladesh Refinery, Xantcha's Crucible, Oran-Rief Mines, Ketria Crystals, Riveteers District</t>
  </si>
  <si>
    <t>Ghirapur Gridworks,Phyrexian Datavault</t>
  </si>
  <si>
    <t>Neko's Nexus, Ghirapur Gridworks, Phyrexian Datavault, Riveteers District, The Abyssal Chains of Shandalar</t>
  </si>
  <si>
    <t>Neko's Nexus, Ghirapur Gridworks, Phyrexian Datavault</t>
  </si>
  <si>
    <t>Thran Foundy, Neko's Nexus, Ghirapur Gridworks, The Abyssal Chains of Shandalar</t>
  </si>
  <si>
    <t>Phyrexian Datavault, The Abyssal Chains of Shandalar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</si>
  <si>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</si>
  <si>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</si>
  <si>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</si>
  <si>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</si>
  <si>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</si>
  <si>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</si>
  <si>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</si>
  <si>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</si>
  <si>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</si>
  <si>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</si>
  <si>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</si>
  <si>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</si>
  <si>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</si>
  <si>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1875.2 MW</t>
  </si>
  <si>
    <t>Nitrogen Gas</t>
  </si>
  <si>
    <t>Extractor</t>
  </si>
  <si>
    <t>Polymer Resin</t>
  </si>
  <si>
    <t>Compacted Coal</t>
  </si>
  <si>
    <t>Packaged Rocket 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</si>
</sst>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left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C3:J59"/>
  <sheetViews>
    <sheetView tabSelected="1" zoomScaleNormal="100" workbookViewId="0">
      <selection activeCell="D57" sqref="D57"/>
    </sheetView>
  </sheetViews>
  <sheetFormatPr defaultColWidth="8.90625" defaultRowHeight="14.5" x14ac:dyDescent="0.35"/>
  <cols>
    <col min="3" max="3" width="23.7265625" bestFit="1" customWidth="1"/>
    <col min="4" max="4" width="10.81640625" style="1" bestFit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3" spans="3:10" ht="15" thickBot="1" x14ac:dyDescent="0.4"/>
    <row r="4" spans="3:10" ht="15" thickBot="1" x14ac:dyDescent="0.4">
      <c r="C4" s="40" t="s">
        <v>7</v>
      </c>
      <c r="D4" s="41"/>
      <c r="E4" s="42"/>
      <c r="F4" s="13"/>
      <c r="G4" s="13"/>
      <c r="H4" s="40" t="s">
        <v>8</v>
      </c>
      <c r="I4" s="41"/>
      <c r="J4" s="42"/>
    </row>
    <row r="5" spans="3:10" ht="15" thickBot="1" x14ac:dyDescent="0.4">
      <c r="C5" s="14" t="s">
        <v>0</v>
      </c>
      <c r="D5" s="12" t="s">
        <v>1</v>
      </c>
      <c r="E5" s="14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3:10" x14ac:dyDescent="0.35">
      <c r="C6" s="4" t="s">
        <v>90</v>
      </c>
      <c r="D6" s="8">
        <v>410</v>
      </c>
      <c r="E6" s="4" t="s">
        <v>134</v>
      </c>
      <c r="H6" s="19" t="s">
        <v>5</v>
      </c>
      <c r="I6" s="47">
        <v>15</v>
      </c>
      <c r="J6" s="19" t="s">
        <v>4</v>
      </c>
    </row>
    <row r="7" spans="3:10" x14ac:dyDescent="0.35">
      <c r="C7" s="2" t="s">
        <v>5</v>
      </c>
      <c r="D7" s="9">
        <v>58.332999999999998</v>
      </c>
      <c r="E7" s="4" t="s">
        <v>4</v>
      </c>
      <c r="H7" s="2" t="s">
        <v>6</v>
      </c>
      <c r="I7" s="46">
        <v>5</v>
      </c>
      <c r="J7" s="2" t="s">
        <v>4</v>
      </c>
    </row>
    <row r="8" spans="3:10" x14ac:dyDescent="0.35">
      <c r="C8" s="2" t="s">
        <v>41</v>
      </c>
      <c r="D8" s="9">
        <v>1999.848</v>
      </c>
      <c r="E8" s="2" t="s">
        <v>42</v>
      </c>
      <c r="H8" s="2" t="s">
        <v>63</v>
      </c>
      <c r="I8" s="46">
        <v>1.4065000000000001</v>
      </c>
      <c r="J8" s="2" t="s">
        <v>81</v>
      </c>
    </row>
    <row r="9" spans="3:10" x14ac:dyDescent="0.35">
      <c r="C9" s="2" t="s">
        <v>43</v>
      </c>
      <c r="D9" s="8">
        <v>369.67770000000002</v>
      </c>
      <c r="E9" s="2" t="s">
        <v>44</v>
      </c>
      <c r="H9" s="2" t="s">
        <v>64</v>
      </c>
      <c r="I9" s="46">
        <v>2.25</v>
      </c>
      <c r="J9" s="2" t="s">
        <v>81</v>
      </c>
    </row>
    <row r="10" spans="3:10" x14ac:dyDescent="0.35">
      <c r="C10" s="2" t="s">
        <v>53</v>
      </c>
      <c r="D10" s="8">
        <v>93.665999999999997</v>
      </c>
      <c r="E10" s="2" t="s">
        <v>50</v>
      </c>
      <c r="H10" s="2" t="s">
        <v>65</v>
      </c>
      <c r="I10" s="46">
        <v>2.5</v>
      </c>
      <c r="J10" s="2" t="s">
        <v>81</v>
      </c>
    </row>
    <row r="11" spans="3:10" x14ac:dyDescent="0.35">
      <c r="C11" s="2" t="s">
        <v>54</v>
      </c>
      <c r="D11" s="9">
        <v>1140</v>
      </c>
      <c r="E11" s="2" t="s">
        <v>55</v>
      </c>
      <c r="H11" s="2" t="s">
        <v>66</v>
      </c>
      <c r="I11" s="46">
        <v>45</v>
      </c>
      <c r="J11" s="2" t="s">
        <v>81</v>
      </c>
    </row>
    <row r="12" spans="3:10" x14ac:dyDescent="0.35">
      <c r="C12" s="4" t="s">
        <v>89</v>
      </c>
      <c r="D12" s="9">
        <v>459.75</v>
      </c>
      <c r="E12" s="4" t="s">
        <v>88</v>
      </c>
      <c r="H12" s="2" t="s">
        <v>67</v>
      </c>
      <c r="I12" s="46">
        <v>5</v>
      </c>
      <c r="J12" s="2" t="s">
        <v>81</v>
      </c>
    </row>
    <row r="13" spans="3:10" x14ac:dyDescent="0.35">
      <c r="C13" s="4" t="s">
        <v>90</v>
      </c>
      <c r="D13" s="9">
        <v>29.405555</v>
      </c>
      <c r="E13" s="4" t="s">
        <v>88</v>
      </c>
      <c r="H13" s="2" t="s">
        <v>68</v>
      </c>
      <c r="I13" s="46">
        <v>7.3125</v>
      </c>
      <c r="J13" s="2" t="s">
        <v>81</v>
      </c>
    </row>
    <row r="14" spans="3:10" x14ac:dyDescent="0.35">
      <c r="C14" s="4" t="s">
        <v>106</v>
      </c>
      <c r="D14" s="9">
        <v>257.5</v>
      </c>
      <c r="E14" s="4" t="s">
        <v>109</v>
      </c>
      <c r="H14" s="2" t="s">
        <v>69</v>
      </c>
      <c r="I14" s="46">
        <v>3</v>
      </c>
      <c r="J14" s="2" t="s">
        <v>81</v>
      </c>
    </row>
    <row r="15" spans="3:10" x14ac:dyDescent="0.35">
      <c r="C15" s="4" t="s">
        <v>5</v>
      </c>
      <c r="D15" s="9">
        <v>68</v>
      </c>
      <c r="E15" s="4" t="s">
        <v>109</v>
      </c>
      <c r="H15" s="2" t="s">
        <v>70</v>
      </c>
      <c r="I15" s="46">
        <v>30</v>
      </c>
      <c r="J15" s="2" t="s">
        <v>81</v>
      </c>
    </row>
    <row r="16" spans="3:10" x14ac:dyDescent="0.35">
      <c r="C16" s="6" t="s">
        <v>149</v>
      </c>
      <c r="D16" s="11">
        <v>246.666</v>
      </c>
      <c r="E16" s="4" t="s">
        <v>134</v>
      </c>
      <c r="H16" s="2" t="s">
        <v>71</v>
      </c>
      <c r="I16" s="46">
        <v>0.5</v>
      </c>
      <c r="J16" s="2" t="s">
        <v>81</v>
      </c>
    </row>
    <row r="17" spans="3:10" x14ac:dyDescent="0.35">
      <c r="C17" s="4" t="s">
        <v>5</v>
      </c>
      <c r="D17" s="9">
        <v>29.17</v>
      </c>
      <c r="E17" s="4" t="s">
        <v>176</v>
      </c>
      <c r="H17" s="2" t="s">
        <v>72</v>
      </c>
      <c r="I17" s="46">
        <v>33.125</v>
      </c>
      <c r="J17" s="2" t="s">
        <v>81</v>
      </c>
    </row>
    <row r="18" spans="3:10" x14ac:dyDescent="0.35">
      <c r="C18" s="2"/>
      <c r="D18" s="9"/>
      <c r="E18" s="2"/>
      <c r="H18" s="2" t="s">
        <v>73</v>
      </c>
      <c r="I18" s="46">
        <v>61.6875</v>
      </c>
      <c r="J18" s="2" t="s">
        <v>81</v>
      </c>
    </row>
    <row r="19" spans="3:10" x14ac:dyDescent="0.35">
      <c r="C19" s="2"/>
      <c r="D19" s="9"/>
      <c r="E19" s="2"/>
      <c r="H19" s="2" t="s">
        <v>74</v>
      </c>
      <c r="I19" s="46">
        <v>7.25</v>
      </c>
      <c r="J19" s="2" t="s">
        <v>81</v>
      </c>
    </row>
    <row r="20" spans="3:10" x14ac:dyDescent="0.35">
      <c r="C20" s="2"/>
      <c r="D20" s="9"/>
      <c r="E20" s="2"/>
      <c r="H20" s="2" t="s">
        <v>75</v>
      </c>
      <c r="I20" s="46">
        <v>30</v>
      </c>
      <c r="J20" s="2" t="s">
        <v>81</v>
      </c>
    </row>
    <row r="21" spans="3:10" x14ac:dyDescent="0.35">
      <c r="C21" s="2"/>
      <c r="D21" s="9"/>
      <c r="E21" s="2"/>
      <c r="H21" s="2" t="s">
        <v>76</v>
      </c>
      <c r="I21" s="46">
        <v>45</v>
      </c>
      <c r="J21" s="2" t="s">
        <v>81</v>
      </c>
    </row>
    <row r="22" spans="3:10" x14ac:dyDescent="0.35">
      <c r="C22" s="2"/>
      <c r="D22" s="9"/>
      <c r="E22" s="2"/>
      <c r="H22" s="2" t="s">
        <v>77</v>
      </c>
      <c r="I22" s="46">
        <v>22.5</v>
      </c>
      <c r="J22" s="2" t="s">
        <v>81</v>
      </c>
    </row>
    <row r="23" spans="3:10" x14ac:dyDescent="0.35">
      <c r="C23" s="2"/>
      <c r="D23" s="9"/>
      <c r="E23" s="2"/>
      <c r="H23" s="2" t="s">
        <v>78</v>
      </c>
      <c r="I23" s="46">
        <v>20.5</v>
      </c>
      <c r="J23" s="2" t="s">
        <v>81</v>
      </c>
    </row>
    <row r="24" spans="3:10" x14ac:dyDescent="0.35">
      <c r="C24" s="2"/>
      <c r="D24" s="9"/>
      <c r="E24" s="2"/>
      <c r="H24" s="2" t="s">
        <v>79</v>
      </c>
      <c r="I24" s="46">
        <v>15</v>
      </c>
      <c r="J24" s="2" t="s">
        <v>81</v>
      </c>
    </row>
    <row r="25" spans="3:10" x14ac:dyDescent="0.35">
      <c r="C25" s="2"/>
      <c r="D25" s="9"/>
      <c r="E25" s="2"/>
      <c r="H25" s="2" t="s">
        <v>80</v>
      </c>
      <c r="I25" s="46">
        <v>25</v>
      </c>
      <c r="J25" s="2" t="s">
        <v>81</v>
      </c>
    </row>
    <row r="26" spans="3:10" x14ac:dyDescent="0.35">
      <c r="C26" s="2"/>
      <c r="D26" s="9"/>
      <c r="E26" s="2"/>
      <c r="H26" s="2" t="s">
        <v>89</v>
      </c>
      <c r="I26" s="46">
        <v>26.25</v>
      </c>
      <c r="J26" s="2" t="s">
        <v>88</v>
      </c>
    </row>
    <row r="27" spans="3:10" x14ac:dyDescent="0.35">
      <c r="C27" s="2"/>
      <c r="D27" s="9"/>
      <c r="E27" s="2"/>
      <c r="H27" s="2" t="s">
        <v>90</v>
      </c>
      <c r="I27" s="46">
        <v>19.443999999999999</v>
      </c>
      <c r="J27" s="2" t="s">
        <v>88</v>
      </c>
    </row>
    <row r="28" spans="3:10" x14ac:dyDescent="0.35">
      <c r="C28" s="2"/>
      <c r="D28" s="9"/>
      <c r="E28" s="2"/>
      <c r="H28" s="2" t="s">
        <v>101</v>
      </c>
      <c r="I28" s="46">
        <v>1.5</v>
      </c>
      <c r="J28" s="2" t="s">
        <v>93</v>
      </c>
    </row>
    <row r="29" spans="3:10" x14ac:dyDescent="0.35">
      <c r="C29" s="2"/>
      <c r="D29" s="9"/>
      <c r="E29" s="2"/>
      <c r="H29" s="2" t="s">
        <v>102</v>
      </c>
      <c r="I29" s="46">
        <v>1.5</v>
      </c>
      <c r="J29" s="2" t="s">
        <v>93</v>
      </c>
    </row>
    <row r="30" spans="3:10" x14ac:dyDescent="0.35">
      <c r="C30" s="2"/>
      <c r="D30" s="9"/>
      <c r="E30" s="2"/>
      <c r="H30" s="2" t="s">
        <v>103</v>
      </c>
      <c r="I30" s="46">
        <v>2.25</v>
      </c>
      <c r="J30" s="2" t="s">
        <v>93</v>
      </c>
    </row>
    <row r="31" spans="3:10" x14ac:dyDescent="0.35">
      <c r="C31" s="2"/>
      <c r="D31" s="9"/>
      <c r="E31" s="2"/>
      <c r="H31" s="2" t="s">
        <v>104</v>
      </c>
      <c r="I31" s="46">
        <v>3</v>
      </c>
      <c r="J31" s="2" t="s">
        <v>93</v>
      </c>
    </row>
    <row r="32" spans="3:10" x14ac:dyDescent="0.35">
      <c r="C32" s="2"/>
      <c r="D32" s="9"/>
      <c r="E32" s="2"/>
      <c r="H32" s="2" t="s">
        <v>105</v>
      </c>
      <c r="I32" s="46">
        <v>6</v>
      </c>
      <c r="J32" s="2" t="s">
        <v>93</v>
      </c>
    </row>
    <row r="33" spans="3:10" x14ac:dyDescent="0.35">
      <c r="C33" s="2"/>
      <c r="D33" s="9"/>
      <c r="E33" s="2"/>
      <c r="H33" s="2" t="s">
        <v>106</v>
      </c>
      <c r="I33" s="46">
        <v>25</v>
      </c>
      <c r="J33" s="2" t="s">
        <v>109</v>
      </c>
    </row>
    <row r="34" spans="3:10" x14ac:dyDescent="0.35">
      <c r="C34" s="2"/>
      <c r="D34" s="9"/>
      <c r="E34" s="2"/>
      <c r="H34" s="2" t="s">
        <v>107</v>
      </c>
      <c r="I34" s="46">
        <v>20</v>
      </c>
      <c r="J34" s="2" t="s">
        <v>109</v>
      </c>
    </row>
    <row r="35" spans="3:10" x14ac:dyDescent="0.35">
      <c r="C35" s="2"/>
      <c r="D35" s="9"/>
      <c r="E35" s="2"/>
      <c r="H35" s="2" t="s">
        <v>125</v>
      </c>
      <c r="I35" s="46">
        <v>0.5</v>
      </c>
      <c r="J35" s="2" t="s">
        <v>114</v>
      </c>
    </row>
    <row r="36" spans="3:10" x14ac:dyDescent="0.35">
      <c r="C36" s="2"/>
      <c r="D36" s="9"/>
      <c r="E36" s="2"/>
      <c r="H36" s="2" t="s">
        <v>126</v>
      </c>
      <c r="I36" s="46">
        <v>0.5</v>
      </c>
      <c r="J36" s="2" t="s">
        <v>114</v>
      </c>
    </row>
    <row r="37" spans="3:10" x14ac:dyDescent="0.35">
      <c r="C37" s="2"/>
      <c r="D37" s="9"/>
      <c r="E37" s="2"/>
      <c r="H37" s="2" t="s">
        <v>138</v>
      </c>
      <c r="I37" s="46">
        <v>49.332999999999998</v>
      </c>
      <c r="J37" s="2" t="s">
        <v>134</v>
      </c>
    </row>
    <row r="38" spans="3:10" ht="15" thickBot="1" x14ac:dyDescent="0.4">
      <c r="C38" s="3"/>
      <c r="D38" s="10"/>
      <c r="E38" s="3"/>
      <c r="H38" s="2" t="s">
        <v>139</v>
      </c>
      <c r="I38" s="46">
        <v>12</v>
      </c>
      <c r="J38" s="2" t="s">
        <v>134</v>
      </c>
    </row>
    <row r="39" spans="3:10" x14ac:dyDescent="0.35">
      <c r="H39" s="2" t="s">
        <v>140</v>
      </c>
      <c r="I39" s="46">
        <v>195</v>
      </c>
      <c r="J39" s="2" t="s">
        <v>134</v>
      </c>
    </row>
    <row r="40" spans="3:10" x14ac:dyDescent="0.35">
      <c r="H40" s="2" t="s">
        <v>141</v>
      </c>
      <c r="I40" s="46">
        <v>62</v>
      </c>
      <c r="J40" s="2" t="s">
        <v>134</v>
      </c>
    </row>
    <row r="41" spans="3:10" x14ac:dyDescent="0.35">
      <c r="H41" s="39" t="s">
        <v>169</v>
      </c>
      <c r="I41" s="46">
        <v>10</v>
      </c>
      <c r="J41" s="2" t="s">
        <v>154</v>
      </c>
    </row>
    <row r="42" spans="3:10" x14ac:dyDescent="0.35">
      <c r="H42" s="39" t="s">
        <v>170</v>
      </c>
      <c r="I42" s="46">
        <v>10</v>
      </c>
      <c r="J42" s="2" t="s">
        <v>154</v>
      </c>
    </row>
    <row r="43" spans="3:10" x14ac:dyDescent="0.35">
      <c r="H43" s="2" t="s">
        <v>175</v>
      </c>
      <c r="I43" s="46">
        <v>5</v>
      </c>
      <c r="J43" s="2" t="s">
        <v>134</v>
      </c>
    </row>
    <row r="44" spans="3:10" x14ac:dyDescent="0.35">
      <c r="H44" s="2" t="s">
        <v>3</v>
      </c>
      <c r="I44" s="46">
        <v>10</v>
      </c>
      <c r="J44" s="2" t="s">
        <v>4</v>
      </c>
    </row>
    <row r="45" spans="3:10" x14ac:dyDescent="0.35">
      <c r="H45" s="11" t="s">
        <v>184</v>
      </c>
      <c r="I45" s="45">
        <v>12.5</v>
      </c>
      <c r="J45" s="4" t="s">
        <v>176</v>
      </c>
    </row>
    <row r="46" spans="3:10" x14ac:dyDescent="0.35">
      <c r="H46" s="11" t="s">
        <v>185</v>
      </c>
      <c r="I46" s="45">
        <v>12.5</v>
      </c>
      <c r="J46" s="4" t="s">
        <v>176</v>
      </c>
    </row>
    <row r="47" spans="3:10" x14ac:dyDescent="0.35">
      <c r="H47" s="11" t="s">
        <v>186</v>
      </c>
      <c r="I47" s="45">
        <v>150</v>
      </c>
      <c r="J47" s="4" t="s">
        <v>176</v>
      </c>
    </row>
    <row r="48" spans="3:10" x14ac:dyDescent="0.35">
      <c r="H48" s="2"/>
      <c r="I48" s="46"/>
      <c r="J48" s="2"/>
    </row>
    <row r="49" spans="8:10" x14ac:dyDescent="0.35">
      <c r="H49" s="2"/>
      <c r="I49" s="46"/>
      <c r="J49" s="2"/>
    </row>
    <row r="50" spans="8:10" x14ac:dyDescent="0.35">
      <c r="H50" s="2"/>
      <c r="I50" s="46"/>
      <c r="J50" s="2"/>
    </row>
    <row r="51" spans="8:10" x14ac:dyDescent="0.35">
      <c r="H51" s="2"/>
      <c r="I51" s="46"/>
      <c r="J51" s="2"/>
    </row>
    <row r="52" spans="8:10" x14ac:dyDescent="0.35">
      <c r="H52" s="2"/>
      <c r="I52" s="46"/>
      <c r="J52" s="2"/>
    </row>
    <row r="53" spans="8:10" x14ac:dyDescent="0.35">
      <c r="H53" s="2"/>
      <c r="I53" s="46"/>
      <c r="J53" s="2"/>
    </row>
    <row r="54" spans="8:10" x14ac:dyDescent="0.35">
      <c r="H54" s="2"/>
      <c r="I54" s="46"/>
      <c r="J54" s="2"/>
    </row>
    <row r="55" spans="8:10" x14ac:dyDescent="0.35">
      <c r="H55" s="2"/>
      <c r="I55" s="46"/>
      <c r="J55" s="2"/>
    </row>
    <row r="56" spans="8:10" x14ac:dyDescent="0.35">
      <c r="H56" s="2"/>
      <c r="I56" s="46"/>
      <c r="J56" s="2"/>
    </row>
    <row r="57" spans="8:10" x14ac:dyDescent="0.35">
      <c r="H57" s="2"/>
      <c r="I57" s="46"/>
      <c r="J57" s="2"/>
    </row>
    <row r="58" spans="8:10" x14ac:dyDescent="0.35">
      <c r="H58" s="2"/>
      <c r="I58" s="46"/>
      <c r="J58" s="2"/>
    </row>
    <row r="59" spans="8:10" ht="15" thickBot="1" x14ac:dyDescent="0.4">
      <c r="H59" s="3"/>
      <c r="I59" s="48"/>
      <c r="J59" s="3"/>
    </row>
  </sheetData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Q18" sqref="Q18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40" t="s">
        <v>15</v>
      </c>
      <c r="G4" s="41"/>
      <c r="H4" s="42"/>
      <c r="K4" s="40" t="s">
        <v>16</v>
      </c>
      <c r="L4" s="41"/>
      <c r="M4" s="42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T1048576"/>
  <sheetViews>
    <sheetView topLeftCell="A3" workbookViewId="0">
      <selection activeCell="H6" sqref="H6"/>
    </sheetView>
  </sheetViews>
  <sheetFormatPr defaultRowHeight="14.5" x14ac:dyDescent="0.35"/>
  <cols>
    <col min="3" max="3" width="17.81640625" bestFit="1" customWidth="1"/>
    <col min="4" max="4" width="22.6328125" style="23" customWidth="1"/>
    <col min="6" max="6" width="7.26953125" bestFit="1" customWidth="1"/>
    <col min="7" max="7" width="7.81640625" bestFit="1" customWidth="1"/>
    <col min="8" max="8" width="13.54296875" bestFit="1" customWidth="1"/>
    <col min="11" max="11" width="8.26953125" bestFit="1" customWidth="1"/>
    <col min="12" max="12" width="8.81640625" bestFit="1" customWidth="1"/>
    <col min="13" max="13" width="27" bestFit="1" customWidth="1"/>
    <col min="14" max="14" width="18.81640625" bestFit="1" customWidth="1"/>
    <col min="20" max="20" width="10.7265625" customWidth="1"/>
  </cols>
  <sheetData>
    <row r="3" spans="3:20" ht="15" thickBot="1" x14ac:dyDescent="0.4"/>
    <row r="4" spans="3:20" x14ac:dyDescent="0.35">
      <c r="C4" s="20" t="s">
        <v>9</v>
      </c>
      <c r="D4" s="24" t="s">
        <v>33</v>
      </c>
    </row>
    <row r="5" spans="3:20" x14ac:dyDescent="0.35">
      <c r="C5" s="21" t="s">
        <v>10</v>
      </c>
      <c r="D5" s="25" t="s">
        <v>27</v>
      </c>
    </row>
    <row r="6" spans="3:20" ht="54" customHeight="1" x14ac:dyDescent="0.35">
      <c r="C6" s="29" t="s">
        <v>11</v>
      </c>
      <c r="D6" s="30" t="s">
        <v>166</v>
      </c>
    </row>
    <row r="7" spans="3:20" x14ac:dyDescent="0.35">
      <c r="C7" s="21" t="s">
        <v>12</v>
      </c>
      <c r="D7" s="25" t="s">
        <v>36</v>
      </c>
    </row>
    <row r="8" spans="3:20" x14ac:dyDescent="0.35">
      <c r="C8" s="21" t="s">
        <v>13</v>
      </c>
      <c r="D8" s="25" t="s">
        <v>37</v>
      </c>
    </row>
    <row r="9" spans="3:20" x14ac:dyDescent="0.35">
      <c r="C9" s="21" t="s">
        <v>14</v>
      </c>
      <c r="D9" s="25" t="s">
        <v>40</v>
      </c>
    </row>
    <row r="10" spans="3:20" x14ac:dyDescent="0.35">
      <c r="C10" s="21" t="s">
        <v>31</v>
      </c>
      <c r="D10" s="25" t="s">
        <v>38</v>
      </c>
    </row>
    <row r="11" spans="3:20" ht="15" thickBot="1" x14ac:dyDescent="0.4">
      <c r="C11" s="22" t="s">
        <v>32</v>
      </c>
      <c r="D11" s="26" t="s">
        <v>39</v>
      </c>
    </row>
    <row r="12" spans="3:20" ht="15" thickBot="1" x14ac:dyDescent="0.4"/>
    <row r="13" spans="3:20" ht="15" thickBot="1" x14ac:dyDescent="0.4">
      <c r="F13" s="40" t="s">
        <v>15</v>
      </c>
      <c r="G13" s="41"/>
      <c r="H13" s="42"/>
      <c r="K13" s="40" t="s">
        <v>16</v>
      </c>
      <c r="L13" s="41"/>
      <c r="M13" s="41"/>
      <c r="N13" s="42"/>
    </row>
    <row r="14" spans="3:20" ht="15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115</v>
      </c>
      <c r="P14" s="43" t="s">
        <v>118</v>
      </c>
      <c r="Q14" s="43"/>
      <c r="R14" s="43"/>
      <c r="S14" s="43"/>
      <c r="T14" s="43"/>
    </row>
    <row r="15" spans="3:20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v>1999.848</v>
      </c>
      <c r="M15" s="4" t="s">
        <v>25</v>
      </c>
      <c r="N15" s="19"/>
      <c r="P15" s="43"/>
      <c r="Q15" s="43"/>
      <c r="R15" s="43"/>
      <c r="S15" s="43"/>
      <c r="T15" s="43"/>
    </row>
    <row r="16" spans="3:20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120</v>
      </c>
      <c r="P16" s="43"/>
      <c r="Q16" s="43"/>
      <c r="R16" s="43"/>
      <c r="S16" s="43"/>
      <c r="T16" s="43"/>
    </row>
    <row r="17" spans="6:20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119</v>
      </c>
      <c r="P17" s="43"/>
      <c r="Q17" s="43"/>
      <c r="R17" s="43"/>
      <c r="S17" s="43"/>
      <c r="T17" s="43"/>
    </row>
    <row r="18" spans="6:20" x14ac:dyDescent="0.35">
      <c r="F18" s="2"/>
      <c r="G18" s="9"/>
      <c r="H18" s="2"/>
      <c r="K18" s="4" t="s">
        <v>35</v>
      </c>
      <c r="L18" s="9">
        <v>37.5</v>
      </c>
      <c r="M18" s="2" t="s">
        <v>93</v>
      </c>
      <c r="N18" s="2" t="s">
        <v>119</v>
      </c>
    </row>
    <row r="19" spans="6:20" x14ac:dyDescent="0.35">
      <c r="F19" s="2"/>
      <c r="G19" s="9"/>
      <c r="H19" s="2"/>
      <c r="K19" s="4" t="s">
        <v>121</v>
      </c>
      <c r="L19" s="9">
        <v>234.25</v>
      </c>
      <c r="M19" s="2" t="s">
        <v>114</v>
      </c>
      <c r="N19" s="2" t="s">
        <v>122</v>
      </c>
    </row>
    <row r="20" spans="6:20" x14ac:dyDescent="0.35">
      <c r="F20" s="2"/>
      <c r="G20" s="9"/>
      <c r="H20" s="2"/>
      <c r="K20" s="4"/>
      <c r="L20" s="9"/>
      <c r="M20" s="2"/>
      <c r="N20" s="2"/>
      <c r="P20">
        <f>2234.098-234.25</f>
        <v>1999.848</v>
      </c>
    </row>
    <row r="21" spans="6:20" x14ac:dyDescent="0.35">
      <c r="F21" s="2"/>
      <c r="G21" s="9"/>
      <c r="H21" s="2"/>
      <c r="K21" s="4"/>
      <c r="L21" s="9"/>
      <c r="M21" s="2"/>
      <c r="N21" s="2"/>
    </row>
    <row r="22" spans="6:20" x14ac:dyDescent="0.35">
      <c r="F22" s="2"/>
      <c r="G22" s="9"/>
      <c r="H22" s="2"/>
      <c r="K22" s="2"/>
      <c r="L22" s="9"/>
      <c r="M22" s="2"/>
      <c r="N22" s="2"/>
    </row>
    <row r="23" spans="6:20" x14ac:dyDescent="0.35">
      <c r="F23" s="2"/>
      <c r="G23" s="9"/>
      <c r="H23" s="2"/>
      <c r="K23" s="2"/>
      <c r="L23" s="9"/>
      <c r="M23" s="2"/>
      <c r="N23" s="2"/>
    </row>
    <row r="24" spans="6:20" x14ac:dyDescent="0.35">
      <c r="F24" s="2"/>
      <c r="G24" s="9"/>
      <c r="H24" s="2"/>
      <c r="K24" s="2"/>
      <c r="L24" s="9"/>
      <c r="M24" s="2"/>
      <c r="N24" s="2"/>
    </row>
    <row r="25" spans="6:20" x14ac:dyDescent="0.35">
      <c r="F25" s="2"/>
      <c r="G25" s="9"/>
      <c r="H25" s="2"/>
      <c r="K25" s="2"/>
      <c r="L25" s="9"/>
      <c r="M25" s="2"/>
      <c r="N25" s="2"/>
    </row>
    <row r="26" spans="6:20" x14ac:dyDescent="0.35">
      <c r="F26" s="2"/>
      <c r="G26" s="9"/>
      <c r="H26" s="2"/>
      <c r="K26" s="2"/>
      <c r="L26" s="9"/>
      <c r="M26" s="2"/>
      <c r="N26" s="2"/>
    </row>
    <row r="27" spans="6:20" x14ac:dyDescent="0.35">
      <c r="F27" s="2"/>
      <c r="G27" s="9"/>
      <c r="H27" s="2"/>
      <c r="K27" s="2"/>
      <c r="L27" s="9"/>
      <c r="M27" s="2"/>
      <c r="N27" s="2"/>
    </row>
    <row r="28" spans="6:20" x14ac:dyDescent="0.35">
      <c r="F28" s="2"/>
      <c r="G28" s="9"/>
      <c r="H28" s="2"/>
      <c r="K28" s="2"/>
      <c r="L28" s="9"/>
      <c r="M28" s="2"/>
      <c r="N28" s="2"/>
    </row>
    <row r="29" spans="6:20" x14ac:dyDescent="0.35">
      <c r="F29" s="2"/>
      <c r="G29" s="9"/>
      <c r="H29" s="2"/>
      <c r="K29" s="2"/>
      <c r="L29" s="9"/>
      <c r="M29" s="2"/>
      <c r="N29" s="2"/>
    </row>
    <row r="30" spans="6:20" x14ac:dyDescent="0.35">
      <c r="F30" s="2"/>
      <c r="G30" s="9"/>
      <c r="H30" s="2"/>
      <c r="K30" s="2"/>
      <c r="L30" s="9"/>
      <c r="M30" s="2"/>
      <c r="N30" s="2"/>
    </row>
    <row r="31" spans="6:20" x14ac:dyDescent="0.35">
      <c r="F31" s="2"/>
      <c r="G31" s="9"/>
      <c r="H31" s="2"/>
      <c r="K31" s="2"/>
      <c r="L31" s="9"/>
      <c r="M31" s="2"/>
      <c r="N31" s="2"/>
    </row>
    <row r="32" spans="6:20" x14ac:dyDescent="0.35">
      <c r="F32" s="2"/>
      <c r="G32" s="9"/>
      <c r="H32" s="2"/>
      <c r="K32" s="2"/>
      <c r="L32" s="9"/>
      <c r="M32" s="2"/>
      <c r="N32" s="2"/>
    </row>
    <row r="33" spans="6:14" x14ac:dyDescent="0.35">
      <c r="F33" s="2"/>
      <c r="G33" s="9"/>
      <c r="H33" s="2"/>
      <c r="K33" s="2"/>
      <c r="L33" s="9"/>
      <c r="M33" s="2"/>
      <c r="N33" s="2"/>
    </row>
    <row r="34" spans="6:14" x14ac:dyDescent="0.35">
      <c r="F34" s="2"/>
      <c r="G34" s="9"/>
      <c r="H34" s="2"/>
      <c r="K34" s="2"/>
      <c r="L34" s="9"/>
      <c r="M34" s="2"/>
      <c r="N34" s="2"/>
    </row>
    <row r="35" spans="6:14" x14ac:dyDescent="0.35">
      <c r="F35" s="2"/>
      <c r="G35" s="9"/>
      <c r="H35" s="2"/>
      <c r="K35" s="2"/>
      <c r="L35" s="9"/>
      <c r="M35" s="2"/>
      <c r="N35" s="2"/>
    </row>
    <row r="36" spans="6:14" x14ac:dyDescent="0.35">
      <c r="F36" s="2"/>
      <c r="G36" s="9"/>
      <c r="H36" s="2"/>
      <c r="K36" s="2"/>
      <c r="L36" s="9"/>
      <c r="M36" s="2"/>
      <c r="N36" s="2"/>
    </row>
    <row r="37" spans="6:14" x14ac:dyDescent="0.35">
      <c r="F37" s="2"/>
      <c r="G37" s="9"/>
      <c r="H37" s="2"/>
      <c r="K37" s="2"/>
      <c r="L37" s="9"/>
      <c r="M37" s="2"/>
      <c r="N37" s="2"/>
    </row>
    <row r="38" spans="6:14" x14ac:dyDescent="0.35">
      <c r="F38" s="2"/>
      <c r="G38" s="9"/>
      <c r="H38" s="2"/>
      <c r="K38" s="2"/>
      <c r="L38" s="9"/>
      <c r="M38" s="2"/>
      <c r="N38" s="2"/>
    </row>
    <row r="39" spans="6:14" x14ac:dyDescent="0.35">
      <c r="F39" s="2"/>
      <c r="G39" s="9"/>
      <c r="H39" s="2"/>
      <c r="K39" s="2"/>
      <c r="L39" s="9"/>
      <c r="M39" s="2"/>
      <c r="N39" s="2"/>
    </row>
    <row r="40" spans="6:14" x14ac:dyDescent="0.35">
      <c r="F40" s="2"/>
      <c r="G40" s="9"/>
      <c r="H40" s="2"/>
      <c r="K40" s="2"/>
      <c r="L40" s="9"/>
      <c r="M40" s="2"/>
      <c r="N40" s="2"/>
    </row>
    <row r="41" spans="6:14" x14ac:dyDescent="0.35">
      <c r="F41" s="2"/>
      <c r="G41" s="9"/>
      <c r="H41" s="2"/>
      <c r="K41" s="2"/>
      <c r="L41" s="9"/>
      <c r="M41" s="2"/>
      <c r="N41" s="2"/>
    </row>
    <row r="42" spans="6:14" x14ac:dyDescent="0.35">
      <c r="F42" s="2"/>
      <c r="G42" s="9"/>
      <c r="H42" s="2"/>
      <c r="K42" s="2"/>
      <c r="L42" s="9"/>
      <c r="M42" s="2"/>
      <c r="N42" s="2"/>
    </row>
    <row r="43" spans="6:14" x14ac:dyDescent="0.35">
      <c r="F43" s="2"/>
      <c r="G43" s="9"/>
      <c r="H43" s="2"/>
      <c r="K43" s="2"/>
      <c r="L43" s="9"/>
      <c r="M43" s="2"/>
      <c r="N43" s="2"/>
    </row>
    <row r="44" spans="6:14" x14ac:dyDescent="0.35">
      <c r="F44" s="2"/>
      <c r="G44" s="9"/>
      <c r="H44" s="2"/>
      <c r="K44" s="2"/>
      <c r="L44" s="9"/>
      <c r="M44" s="2"/>
      <c r="N44" s="2"/>
    </row>
    <row r="45" spans="6:14" x14ac:dyDescent="0.35">
      <c r="F45" s="2"/>
      <c r="G45" s="9"/>
      <c r="H45" s="2"/>
      <c r="K45" s="2"/>
      <c r="L45" s="9"/>
      <c r="M45" s="2"/>
      <c r="N45" s="2"/>
    </row>
    <row r="46" spans="6:14" x14ac:dyDescent="0.35">
      <c r="F46" s="2"/>
      <c r="G46" s="9"/>
      <c r="H46" s="2"/>
      <c r="K46" s="2"/>
      <c r="L46" s="9"/>
      <c r="M46" s="2"/>
      <c r="N46" s="2"/>
    </row>
    <row r="47" spans="6:14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3">
    <mergeCell ref="F13:H13"/>
    <mergeCell ref="P14:T17"/>
    <mergeCell ref="K13:N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workbookViewId="0">
      <selection activeCell="B18" sqref="B18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38.5" customHeight="1" x14ac:dyDescent="0.35">
      <c r="B4" s="29" t="s">
        <v>11</v>
      </c>
      <c r="C4" s="31" t="s">
        <v>165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146</v>
      </c>
    </row>
    <row r="7" spans="2:12" x14ac:dyDescent="0.35">
      <c r="B7" s="21" t="s">
        <v>14</v>
      </c>
      <c r="C7" s="25" t="s">
        <v>147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148</v>
      </c>
    </row>
    <row r="10" spans="2:12" ht="15" thickBot="1" x14ac:dyDescent="0.4">
      <c r="C10" s="23"/>
    </row>
    <row r="11" spans="2:12" ht="15" thickBot="1" x14ac:dyDescent="0.4">
      <c r="C11" s="23"/>
      <c r="E11" s="40" t="s">
        <v>15</v>
      </c>
      <c r="F11" s="41"/>
      <c r="G11" s="42"/>
      <c r="J11" s="40" t="s">
        <v>16</v>
      </c>
      <c r="K11" s="41"/>
      <c r="L11" s="42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v>93.665999999999997</v>
      </c>
      <c r="L13" s="4" t="s">
        <v>25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93</v>
      </c>
    </row>
    <row r="16" spans="2:12" x14ac:dyDescent="0.35">
      <c r="C16" s="23"/>
      <c r="E16" s="2"/>
      <c r="F16" s="9"/>
      <c r="G16" s="2"/>
      <c r="J16" s="4" t="s">
        <v>53</v>
      </c>
      <c r="K16" s="9">
        <v>158.333</v>
      </c>
      <c r="L16" s="2" t="s">
        <v>154</v>
      </c>
    </row>
    <row r="17" spans="3:12" x14ac:dyDescent="0.35">
      <c r="C17" s="23"/>
      <c r="E17" s="2"/>
      <c r="F17" s="9"/>
      <c r="G17" s="2"/>
      <c r="J17" s="4"/>
      <c r="K17" s="9"/>
      <c r="L17" s="2"/>
    </row>
    <row r="18" spans="3:12" x14ac:dyDescent="0.35">
      <c r="C18" s="23"/>
      <c r="E18" s="2"/>
      <c r="F18" s="9"/>
      <c r="G18" s="2"/>
      <c r="J18" s="4"/>
      <c r="K18" s="9"/>
      <c r="L18" s="2"/>
    </row>
    <row r="19" spans="3:12" x14ac:dyDescent="0.35">
      <c r="C19" s="23"/>
      <c r="E19" s="2"/>
      <c r="F19" s="9"/>
      <c r="G19" s="2"/>
      <c r="J19" s="4"/>
      <c r="K19" s="9"/>
      <c r="L19" s="2"/>
    </row>
    <row r="20" spans="3:12" x14ac:dyDescent="0.35">
      <c r="C20" s="23"/>
      <c r="E20" s="2"/>
      <c r="F20" s="9"/>
      <c r="G20" s="2"/>
      <c r="J20" s="2"/>
      <c r="K20" s="9"/>
      <c r="L20" s="2"/>
    </row>
    <row r="21" spans="3:12" x14ac:dyDescent="0.35">
      <c r="C21" s="23"/>
      <c r="E21" s="2"/>
      <c r="F21" s="9"/>
      <c r="G21" s="2"/>
      <c r="J21" s="2"/>
      <c r="K21" s="9"/>
      <c r="L21" s="2"/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zoomScale="70" zoomScaleNormal="70" workbookViewId="0">
      <selection activeCell="C39" sqref="C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47.5" customHeight="1" x14ac:dyDescent="0.35">
      <c r="B4" s="29" t="s">
        <v>11</v>
      </c>
      <c r="C4" s="31" t="s">
        <v>164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40" t="s">
        <v>15</v>
      </c>
      <c r="F11" s="41"/>
      <c r="G11" s="42"/>
      <c r="J11" s="40" t="s">
        <v>16</v>
      </c>
      <c r="K11" s="41"/>
      <c r="L11" s="41"/>
      <c r="M11" s="42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115</v>
      </c>
      <c r="O12" s="43" t="s">
        <v>96</v>
      </c>
      <c r="P12" s="43"/>
      <c r="Q12" s="43"/>
      <c r="R12" s="43"/>
      <c r="S12" s="43"/>
      <c r="T12" s="43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</f>
        <v>369.67699999999968</v>
      </c>
      <c r="L13" s="5" t="s">
        <v>25</v>
      </c>
      <c r="M13" s="19"/>
      <c r="O13" s="43"/>
      <c r="P13" s="43"/>
      <c r="Q13" s="43"/>
      <c r="R13" s="43"/>
      <c r="S13" s="43"/>
      <c r="T13" s="43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117</v>
      </c>
      <c r="O14" s="43"/>
      <c r="P14" s="43"/>
      <c r="Q14" s="43"/>
      <c r="R14" s="43"/>
      <c r="S14" s="43"/>
      <c r="T14" s="43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93</v>
      </c>
      <c r="M15" s="2" t="s">
        <v>117</v>
      </c>
      <c r="O15" s="43"/>
      <c r="P15" s="43"/>
      <c r="Q15" s="43"/>
      <c r="R15" s="43"/>
      <c r="S15" s="43"/>
      <c r="T15" s="43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114</v>
      </c>
      <c r="M16" s="2" t="s">
        <v>116</v>
      </c>
      <c r="O16" s="43" t="s">
        <v>113</v>
      </c>
      <c r="P16" s="43"/>
      <c r="Q16" s="43"/>
      <c r="R16" s="43"/>
      <c r="S16" s="43"/>
      <c r="T16" s="43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132</v>
      </c>
      <c r="M17" s="2" t="s">
        <v>133</v>
      </c>
      <c r="O17" s="43"/>
      <c r="P17" s="43"/>
      <c r="Q17" s="43"/>
      <c r="R17" s="43"/>
      <c r="S17" s="43"/>
      <c r="T17" s="43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154</v>
      </c>
      <c r="M18" s="2"/>
      <c r="O18" s="43"/>
      <c r="P18" s="43"/>
      <c r="Q18" s="43"/>
      <c r="R18" s="43"/>
      <c r="S18" s="43"/>
      <c r="T18" s="43"/>
    </row>
    <row r="19" spans="3:20" x14ac:dyDescent="0.35">
      <c r="C19" s="23"/>
      <c r="E19" s="2"/>
      <c r="F19" s="9"/>
      <c r="G19" s="2"/>
      <c r="J19" s="4"/>
      <c r="K19" s="9"/>
      <c r="L19" s="6"/>
      <c r="M19" s="2"/>
      <c r="O19" s="43"/>
      <c r="P19" s="43"/>
      <c r="Q19" s="43"/>
      <c r="R19" s="43"/>
      <c r="S19" s="43"/>
      <c r="T19" s="43"/>
    </row>
    <row r="20" spans="3:20" ht="14.5" customHeight="1" x14ac:dyDescent="0.35">
      <c r="C20" s="23"/>
      <c r="E20" s="2"/>
      <c r="F20" s="9"/>
      <c r="G20" s="2"/>
      <c r="J20" s="2"/>
      <c r="K20" s="9"/>
      <c r="L20" s="6"/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44" t="s">
        <v>153</v>
      </c>
      <c r="P21" s="44"/>
      <c r="Q21" s="44"/>
      <c r="R21" s="44"/>
      <c r="S21" s="44"/>
      <c r="T21" s="44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43" t="s">
        <v>159</v>
      </c>
      <c r="P23" s="43"/>
      <c r="Q23" s="43"/>
      <c r="R23" s="43"/>
      <c r="S23" s="43"/>
      <c r="T23" s="43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43"/>
      <c r="P24" s="43"/>
      <c r="Q24" s="43"/>
      <c r="R24" s="43"/>
      <c r="S24" s="43"/>
      <c r="T24" s="43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43"/>
      <c r="P25" s="43"/>
      <c r="Q25" s="43"/>
      <c r="R25" s="43"/>
      <c r="S25" s="43"/>
      <c r="T25" s="43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43"/>
      <c r="P26" s="43"/>
      <c r="Q26" s="43"/>
      <c r="R26" s="43"/>
      <c r="S26" s="43"/>
      <c r="T26" s="43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43" t="s">
        <v>160</v>
      </c>
      <c r="P27" s="43"/>
      <c r="Q27" s="43"/>
      <c r="R27" s="43"/>
      <c r="S27" s="43"/>
      <c r="T27" s="43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43"/>
      <c r="P28" s="43"/>
      <c r="Q28" s="43"/>
      <c r="R28" s="43"/>
      <c r="S28" s="43"/>
      <c r="T28" s="43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43"/>
      <c r="P29" s="43"/>
      <c r="Q29" s="43"/>
      <c r="R29" s="43"/>
      <c r="S29" s="43"/>
      <c r="T29" s="43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43"/>
      <c r="P30" s="43"/>
      <c r="Q30" s="43"/>
      <c r="R30" s="43"/>
      <c r="S30" s="43"/>
      <c r="T30" s="43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43" t="s">
        <v>161</v>
      </c>
      <c r="P31" s="43"/>
      <c r="Q31" s="43"/>
      <c r="R31" s="43"/>
      <c r="S31" s="43"/>
      <c r="T31" s="43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43"/>
      <c r="P32" s="43"/>
      <c r="Q32" s="43"/>
      <c r="R32" s="43"/>
      <c r="S32" s="43"/>
      <c r="T32" s="43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43"/>
      <c r="P33" s="43"/>
      <c r="Q33" s="43"/>
      <c r="R33" s="43"/>
      <c r="S33" s="43"/>
      <c r="T33" s="43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43"/>
      <c r="P34" s="43"/>
      <c r="Q34" s="43"/>
      <c r="R34" s="43"/>
      <c r="S34" s="43"/>
      <c r="T34" s="43"/>
    </row>
    <row r="35" spans="3:20" x14ac:dyDescent="0.35">
      <c r="C35" s="23"/>
      <c r="E35" s="2"/>
      <c r="F35" s="9"/>
      <c r="G35" s="2"/>
      <c r="J35" s="2"/>
      <c r="K35" s="9"/>
      <c r="L35" s="6"/>
      <c r="M35" s="2"/>
    </row>
    <row r="36" spans="3:20" x14ac:dyDescent="0.35">
      <c r="C36" s="23"/>
      <c r="E36" s="2"/>
      <c r="F36" s="9"/>
      <c r="G36" s="2"/>
      <c r="J36" s="2"/>
      <c r="K36" s="9"/>
      <c r="L36" s="6"/>
      <c r="M36" s="2"/>
    </row>
    <row r="37" spans="3:20" x14ac:dyDescent="0.35">
      <c r="E37" s="2"/>
      <c r="F37" s="9"/>
      <c r="G37" s="2"/>
      <c r="J37" s="2"/>
      <c r="K37" s="9"/>
      <c r="L37" s="6"/>
      <c r="M37" s="2"/>
    </row>
    <row r="38" spans="3:20" x14ac:dyDescent="0.35">
      <c r="E38" s="2"/>
      <c r="F38" s="9"/>
      <c r="G38" s="2"/>
      <c r="J38" s="2"/>
      <c r="K38" s="9"/>
      <c r="L38" s="6"/>
      <c r="M38" s="2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8"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36"/>
  <sheetViews>
    <sheetView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13.6328125" bestFit="1" customWidth="1"/>
    <col min="5" max="5" width="9.1796875" bestFit="1" customWidth="1"/>
    <col min="6" max="6" width="7.36328125" bestFit="1" customWidth="1"/>
    <col min="7" max="7" width="13.6328125" bestFit="1" customWidth="1"/>
    <col min="10" max="10" width="10.1796875" bestFit="1" customWidth="1"/>
    <col min="11" max="11" width="7.36328125" bestFit="1" customWidth="1"/>
    <col min="12" max="12" width="11.6328125" bestFit="1" customWidth="1"/>
  </cols>
  <sheetData>
    <row r="1" spans="2:19" ht="15" thickBot="1" x14ac:dyDescent="0.4"/>
    <row r="2" spans="2:19" ht="15" thickBot="1" x14ac:dyDescent="0.4">
      <c r="B2" s="20" t="s">
        <v>9</v>
      </c>
      <c r="C2" s="24" t="s">
        <v>55</v>
      </c>
      <c r="E2" s="40" t="s">
        <v>15</v>
      </c>
      <c r="F2" s="41"/>
      <c r="G2" s="42"/>
      <c r="J2" s="40" t="s">
        <v>16</v>
      </c>
      <c r="K2" s="41"/>
      <c r="L2" s="42"/>
    </row>
    <row r="3" spans="2:19" ht="15" thickBot="1" x14ac:dyDescent="0.4">
      <c r="B3" s="21" t="s">
        <v>10</v>
      </c>
      <c r="C3" s="25" t="s">
        <v>33</v>
      </c>
      <c r="E3" s="14" t="s">
        <v>0</v>
      </c>
      <c r="F3" s="12" t="s">
        <v>1</v>
      </c>
      <c r="G3" s="14" t="s">
        <v>2</v>
      </c>
      <c r="J3" s="14" t="s">
        <v>0</v>
      </c>
      <c r="K3" s="12" t="s">
        <v>1</v>
      </c>
      <c r="L3" s="14" t="s">
        <v>24</v>
      </c>
      <c r="N3" s="43" t="s">
        <v>87</v>
      </c>
      <c r="O3" s="43"/>
      <c r="P3" s="43"/>
      <c r="Q3" s="43"/>
      <c r="R3" s="43"/>
      <c r="S3" s="43"/>
    </row>
    <row r="4" spans="2:19" x14ac:dyDescent="0.35">
      <c r="B4" s="21" t="s">
        <v>11</v>
      </c>
      <c r="C4" s="25" t="s">
        <v>81</v>
      </c>
      <c r="E4" s="4" t="s">
        <v>41</v>
      </c>
      <c r="F4" s="8">
        <v>960</v>
      </c>
      <c r="G4" s="4" t="s">
        <v>33</v>
      </c>
      <c r="J4" s="4" t="s">
        <v>54</v>
      </c>
      <c r="K4" s="8">
        <v>1140</v>
      </c>
      <c r="L4" s="4" t="s">
        <v>25</v>
      </c>
      <c r="N4" s="43"/>
      <c r="O4" s="43"/>
      <c r="P4" s="43"/>
      <c r="Q4" s="43"/>
      <c r="R4" s="43"/>
      <c r="S4" s="43"/>
    </row>
    <row r="5" spans="2:19" x14ac:dyDescent="0.35">
      <c r="B5" s="21" t="s">
        <v>12</v>
      </c>
      <c r="C5" s="25" t="s">
        <v>36</v>
      </c>
      <c r="E5" s="2" t="s">
        <v>17</v>
      </c>
      <c r="F5" s="9">
        <v>960</v>
      </c>
      <c r="G5" s="4" t="s">
        <v>60</v>
      </c>
      <c r="J5" s="4" t="s">
        <v>54</v>
      </c>
      <c r="K5" s="9">
        <v>300</v>
      </c>
      <c r="L5" s="2" t="s">
        <v>81</v>
      </c>
      <c r="N5" s="43"/>
      <c r="O5" s="43"/>
      <c r="P5" s="43"/>
      <c r="Q5" s="43"/>
      <c r="R5" s="43"/>
      <c r="S5" s="43"/>
    </row>
    <row r="6" spans="2:19" x14ac:dyDescent="0.35">
      <c r="B6" s="21" t="s">
        <v>13</v>
      </c>
      <c r="C6" s="25" t="s">
        <v>56</v>
      </c>
      <c r="E6" s="2"/>
      <c r="F6" s="9"/>
      <c r="G6" s="2"/>
      <c r="J6" s="4"/>
      <c r="K6" s="9"/>
      <c r="L6" s="2"/>
      <c r="N6" s="43"/>
      <c r="O6" s="43"/>
      <c r="P6" s="43"/>
      <c r="Q6" s="43"/>
      <c r="R6" s="43"/>
      <c r="S6" s="43"/>
    </row>
    <row r="7" spans="2:19" x14ac:dyDescent="0.35">
      <c r="B7" s="21" t="s">
        <v>14</v>
      </c>
      <c r="C7" s="25" t="s">
        <v>57</v>
      </c>
      <c r="E7" s="2"/>
      <c r="F7" s="9"/>
      <c r="G7" s="2"/>
      <c r="J7" s="4"/>
      <c r="K7" s="9"/>
      <c r="L7" s="2"/>
    </row>
    <row r="8" spans="2:19" x14ac:dyDescent="0.35">
      <c r="B8" s="21" t="s">
        <v>31</v>
      </c>
      <c r="C8" s="25" t="s">
        <v>58</v>
      </c>
      <c r="E8" s="2"/>
      <c r="F8" s="9"/>
      <c r="G8" s="2"/>
      <c r="J8" s="4"/>
      <c r="K8" s="9"/>
      <c r="L8" s="2"/>
    </row>
    <row r="9" spans="2:19" ht="15" thickBot="1" x14ac:dyDescent="0.4">
      <c r="B9" s="22" t="s">
        <v>32</v>
      </c>
      <c r="C9" s="26" t="s">
        <v>59</v>
      </c>
      <c r="E9" s="2"/>
      <c r="F9" s="9"/>
      <c r="G9" s="2"/>
      <c r="J9" s="4"/>
      <c r="K9" s="9"/>
      <c r="L9" s="2"/>
    </row>
    <row r="10" spans="2:19" x14ac:dyDescent="0.35">
      <c r="C10" s="23"/>
      <c r="E10" s="2"/>
      <c r="F10" s="9"/>
      <c r="G10" s="2"/>
      <c r="J10" s="4"/>
      <c r="K10" s="9"/>
      <c r="L10" s="2"/>
    </row>
    <row r="11" spans="2:19" x14ac:dyDescent="0.35">
      <c r="C11" s="23"/>
      <c r="E11" s="2"/>
      <c r="F11" s="9"/>
      <c r="G11" s="2"/>
      <c r="J11" s="2"/>
      <c r="K11" s="9"/>
      <c r="L11" s="2"/>
    </row>
    <row r="12" spans="2:19" x14ac:dyDescent="0.35">
      <c r="C12" s="23"/>
      <c r="E12" s="2"/>
      <c r="F12" s="9"/>
      <c r="G12" s="2"/>
      <c r="J12" s="2"/>
      <c r="K12" s="9"/>
      <c r="L12" s="2"/>
    </row>
    <row r="13" spans="2:19" x14ac:dyDescent="0.35">
      <c r="C13" s="23"/>
      <c r="E13" s="2"/>
      <c r="F13" s="9"/>
      <c r="G13" s="2"/>
      <c r="J13" s="2"/>
      <c r="K13" s="9"/>
      <c r="L13" s="2"/>
    </row>
    <row r="14" spans="2:19" x14ac:dyDescent="0.35">
      <c r="C14" s="23"/>
      <c r="E14" s="2"/>
      <c r="F14" s="9"/>
      <c r="G14" s="2"/>
      <c r="J14" s="2"/>
      <c r="K14" s="9"/>
      <c r="L14" s="2"/>
    </row>
    <row r="15" spans="2:19" x14ac:dyDescent="0.35">
      <c r="C15" s="23"/>
      <c r="E15" s="2"/>
      <c r="F15" s="9"/>
      <c r="G15" s="2"/>
      <c r="J15" s="2"/>
      <c r="K15" s="9"/>
      <c r="L15" s="2"/>
    </row>
    <row r="16" spans="2:19" x14ac:dyDescent="0.35">
      <c r="C16" s="23"/>
      <c r="E16" s="2"/>
      <c r="F16" s="9"/>
      <c r="G16" s="2"/>
      <c r="J16" s="2"/>
      <c r="K16" s="9"/>
      <c r="L16" s="2"/>
    </row>
    <row r="17" spans="3:12" x14ac:dyDescent="0.35">
      <c r="C17" s="23"/>
      <c r="E17" s="2"/>
      <c r="F17" s="9"/>
      <c r="G17" s="2"/>
      <c r="J17" s="2"/>
      <c r="K17" s="9"/>
      <c r="L17" s="2"/>
    </row>
    <row r="18" spans="3:12" x14ac:dyDescent="0.35">
      <c r="C18" s="23"/>
      <c r="E18" s="2"/>
      <c r="F18" s="9"/>
      <c r="G18" s="2"/>
      <c r="J18" s="2"/>
      <c r="K18" s="9"/>
      <c r="L18" s="2"/>
    </row>
    <row r="19" spans="3:12" x14ac:dyDescent="0.35">
      <c r="C19" s="23"/>
      <c r="E19" s="2"/>
      <c r="F19" s="9"/>
      <c r="G19" s="2"/>
      <c r="J19" s="2"/>
      <c r="K19" s="9"/>
      <c r="L19" s="2"/>
    </row>
    <row r="20" spans="3:12" x14ac:dyDescent="0.35">
      <c r="C20" s="23"/>
      <c r="E20" s="2"/>
      <c r="F20" s="9"/>
      <c r="G20" s="2"/>
      <c r="J20" s="2"/>
      <c r="K20" s="9"/>
      <c r="L20" s="2"/>
    </row>
    <row r="21" spans="3:12" x14ac:dyDescent="0.35">
      <c r="C21" s="23"/>
      <c r="E21" s="2"/>
      <c r="F21" s="9"/>
      <c r="G21" s="2"/>
      <c r="J21" s="2"/>
      <c r="K21" s="9"/>
      <c r="L21" s="2"/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ht="15" thickBot="1" x14ac:dyDescent="0.4">
      <c r="C36" s="23"/>
      <c r="E36" s="3"/>
      <c r="F36" s="10"/>
      <c r="G36" s="3"/>
      <c r="J36" s="3"/>
      <c r="K36" s="10"/>
      <c r="L36" s="3"/>
    </row>
  </sheetData>
  <mergeCells count="3">
    <mergeCell ref="E2:G2"/>
    <mergeCell ref="J2:L2"/>
    <mergeCell ref="N3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G58" sqref="G5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83</v>
      </c>
    </row>
    <row r="7" spans="2:12" x14ac:dyDescent="0.35">
      <c r="B7" s="21" t="s">
        <v>14</v>
      </c>
      <c r="C7" s="25" t="s">
        <v>84</v>
      </c>
    </row>
    <row r="8" spans="2:12" x14ac:dyDescent="0.35">
      <c r="B8" s="21" t="s">
        <v>31</v>
      </c>
      <c r="C8" s="25" t="s">
        <v>85</v>
      </c>
    </row>
    <row r="9" spans="2:12" ht="15" thickBot="1" x14ac:dyDescent="0.4">
      <c r="B9" s="22" t="s">
        <v>32</v>
      </c>
      <c r="C9" s="26" t="s">
        <v>86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20" sqref="C20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88</v>
      </c>
    </row>
    <row r="3" spans="2:19" x14ac:dyDescent="0.35">
      <c r="B3" s="27" t="s">
        <v>10</v>
      </c>
      <c r="C3" s="28" t="s">
        <v>27</v>
      </c>
    </row>
    <row r="4" spans="2:19" ht="34" customHeight="1" x14ac:dyDescent="0.35">
      <c r="B4" s="21" t="s">
        <v>11</v>
      </c>
      <c r="C4" s="37" t="s">
        <v>163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150</v>
      </c>
    </row>
    <row r="7" spans="2:19" x14ac:dyDescent="0.35">
      <c r="B7" s="21" t="s">
        <v>14</v>
      </c>
      <c r="C7" s="25" t="s">
        <v>151</v>
      </c>
    </row>
    <row r="8" spans="2:19" x14ac:dyDescent="0.35">
      <c r="B8" s="21" t="s">
        <v>31</v>
      </c>
      <c r="C8" s="25" t="s">
        <v>92</v>
      </c>
    </row>
    <row r="9" spans="2:19" ht="15" thickBot="1" x14ac:dyDescent="0.4">
      <c r="B9" s="22" t="s">
        <v>32</v>
      </c>
      <c r="C9" s="26" t="s">
        <v>152</v>
      </c>
    </row>
    <row r="10" spans="2:19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91</v>
      </c>
      <c r="F12" s="8">
        <v>1380</v>
      </c>
      <c r="G12" s="4" t="s">
        <v>60</v>
      </c>
      <c r="J12" s="4" t="s">
        <v>89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90</v>
      </c>
      <c r="K13" s="9">
        <v>19.443999999999999</v>
      </c>
      <c r="L13" s="4" t="s">
        <v>8</v>
      </c>
      <c r="N13" s="43" t="s">
        <v>94</v>
      </c>
      <c r="O13" s="43"/>
      <c r="P13" s="43"/>
      <c r="Q13" s="43"/>
      <c r="R13" s="43"/>
      <c r="S13" s="43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89</v>
      </c>
      <c r="K14" s="9">
        <v>459.75</v>
      </c>
      <c r="L14" s="4" t="s">
        <v>25</v>
      </c>
      <c r="N14" s="43"/>
      <c r="O14" s="43"/>
      <c r="P14" s="43"/>
      <c r="Q14" s="43"/>
      <c r="R14" s="43"/>
      <c r="S14" s="43"/>
    </row>
    <row r="15" spans="2:19" x14ac:dyDescent="0.35">
      <c r="C15" s="23"/>
      <c r="E15" s="2"/>
      <c r="F15" s="9"/>
      <c r="G15" s="2"/>
      <c r="J15" s="4" t="s">
        <v>90</v>
      </c>
      <c r="K15" s="9">
        <v>29.405550000000002</v>
      </c>
      <c r="L15" s="4" t="s">
        <v>25</v>
      </c>
      <c r="N15" s="43"/>
      <c r="O15" s="43"/>
      <c r="P15" s="43"/>
      <c r="Q15" s="43"/>
      <c r="R15" s="43"/>
      <c r="S15" s="43"/>
    </row>
    <row r="16" spans="2:19" ht="14.5" customHeight="1" x14ac:dyDescent="0.35">
      <c r="C16" s="23"/>
      <c r="E16" s="2"/>
      <c r="F16" s="9"/>
      <c r="G16" s="2"/>
      <c r="J16" s="4" t="s">
        <v>89</v>
      </c>
      <c r="K16" s="9">
        <v>54</v>
      </c>
      <c r="L16" s="4" t="s">
        <v>93</v>
      </c>
      <c r="N16" s="43"/>
      <c r="O16" s="43"/>
      <c r="P16" s="43"/>
      <c r="Q16" s="43"/>
      <c r="R16" s="43"/>
      <c r="S16" s="43"/>
    </row>
    <row r="17" spans="3:19" ht="14.5" customHeight="1" x14ac:dyDescent="0.35">
      <c r="C17" s="23"/>
      <c r="E17" s="2"/>
      <c r="F17" s="9"/>
      <c r="G17" s="2"/>
      <c r="J17" s="4" t="s">
        <v>90</v>
      </c>
      <c r="K17" s="9">
        <v>45.15</v>
      </c>
      <c r="L17" s="4" t="s">
        <v>93</v>
      </c>
      <c r="N17" s="43" t="s">
        <v>95</v>
      </c>
      <c r="O17" s="43"/>
      <c r="P17" s="43"/>
      <c r="Q17" s="43"/>
      <c r="R17" s="43"/>
      <c r="S17" s="43"/>
    </row>
    <row r="18" spans="3:19" x14ac:dyDescent="0.35">
      <c r="C18" s="23"/>
      <c r="E18" s="2"/>
      <c r="F18" s="9"/>
      <c r="G18" s="2"/>
      <c r="J18" s="4" t="s">
        <v>89</v>
      </c>
      <c r="K18" s="9">
        <v>300</v>
      </c>
      <c r="L18" s="4" t="s">
        <v>154</v>
      </c>
      <c r="N18" s="43"/>
      <c r="O18" s="43"/>
      <c r="P18" s="43"/>
      <c r="Q18" s="43"/>
      <c r="R18" s="43"/>
      <c r="S18" s="43"/>
    </row>
    <row r="19" spans="3:19" x14ac:dyDescent="0.35">
      <c r="C19" s="23"/>
      <c r="E19" s="2"/>
      <c r="F19" s="9"/>
      <c r="G19" s="2"/>
      <c r="J19" s="2" t="s">
        <v>90</v>
      </c>
      <c r="K19" s="9">
        <v>606</v>
      </c>
      <c r="L19" s="4" t="s">
        <v>154</v>
      </c>
      <c r="N19" s="43"/>
      <c r="O19" s="43"/>
      <c r="P19" s="43"/>
      <c r="Q19" s="43"/>
      <c r="R19" s="43"/>
      <c r="S19" s="43"/>
    </row>
    <row r="20" spans="3:19" x14ac:dyDescent="0.35">
      <c r="C20" s="23"/>
      <c r="E20" s="2"/>
      <c r="F20" s="9"/>
      <c r="G20" s="2"/>
      <c r="J20" s="2"/>
      <c r="K20" s="9"/>
      <c r="L20" s="4"/>
      <c r="N20" s="43"/>
      <c r="O20" s="43"/>
      <c r="P20" s="43"/>
      <c r="Q20" s="43"/>
      <c r="R20" s="43"/>
      <c r="S20" s="43"/>
    </row>
    <row r="21" spans="3:19" x14ac:dyDescent="0.35">
      <c r="C21" s="23"/>
      <c r="E21" s="2"/>
      <c r="F21" s="9"/>
      <c r="G21" s="2"/>
      <c r="J21" s="2"/>
      <c r="K21" s="9"/>
      <c r="L21" s="4"/>
    </row>
    <row r="22" spans="3:19" x14ac:dyDescent="0.35">
      <c r="C22" s="23"/>
      <c r="E22" s="2"/>
      <c r="F22" s="9"/>
      <c r="G22" s="2"/>
      <c r="J22" s="2"/>
      <c r="K22" s="9"/>
      <c r="L22" s="4"/>
      <c r="N22" s="44" t="s">
        <v>153</v>
      </c>
      <c r="O22" s="44"/>
      <c r="P22" s="44"/>
      <c r="Q22" s="44"/>
      <c r="R22" s="44"/>
      <c r="S22" s="44"/>
    </row>
    <row r="23" spans="3:19" x14ac:dyDescent="0.35">
      <c r="C23" s="23"/>
      <c r="E23" s="2"/>
      <c r="F23" s="9"/>
      <c r="G23" s="2"/>
      <c r="J23" s="2"/>
      <c r="K23" s="9"/>
      <c r="L23" s="4"/>
    </row>
    <row r="24" spans="3:19" x14ac:dyDescent="0.35">
      <c r="C24" s="23"/>
      <c r="E24" s="2"/>
      <c r="F24" s="9"/>
      <c r="G24" s="2"/>
      <c r="J24" s="2"/>
      <c r="K24" s="9"/>
      <c r="L24" s="4"/>
      <c r="N24" s="43" t="s">
        <v>155</v>
      </c>
      <c r="O24" s="43"/>
      <c r="P24" s="43"/>
      <c r="Q24" s="43"/>
      <c r="R24" s="43"/>
      <c r="S24" s="43"/>
    </row>
    <row r="25" spans="3:19" x14ac:dyDescent="0.35">
      <c r="C25" s="23"/>
      <c r="E25" s="2"/>
      <c r="F25" s="9"/>
      <c r="G25" s="2"/>
      <c r="J25" s="2"/>
      <c r="K25" s="9"/>
      <c r="L25" s="4"/>
      <c r="N25" s="43"/>
      <c r="O25" s="43"/>
      <c r="P25" s="43"/>
      <c r="Q25" s="43"/>
      <c r="R25" s="43"/>
      <c r="S25" s="43"/>
    </row>
    <row r="26" spans="3:19" x14ac:dyDescent="0.35">
      <c r="C26" s="23"/>
      <c r="E26" s="2"/>
      <c r="F26" s="9"/>
      <c r="G26" s="2"/>
      <c r="J26" s="2"/>
      <c r="K26" s="9"/>
      <c r="L26" s="4"/>
      <c r="N26" s="43"/>
      <c r="O26" s="43"/>
      <c r="P26" s="43"/>
      <c r="Q26" s="43"/>
      <c r="R26" s="43"/>
      <c r="S26" s="43"/>
    </row>
    <row r="27" spans="3:19" x14ac:dyDescent="0.35">
      <c r="C27" s="23"/>
      <c r="E27" s="2"/>
      <c r="F27" s="9"/>
      <c r="G27" s="2"/>
      <c r="J27" s="2"/>
      <c r="K27" s="9"/>
      <c r="L27" s="4"/>
      <c r="N27" s="43"/>
      <c r="O27" s="43"/>
      <c r="P27" s="43"/>
      <c r="Q27" s="43"/>
      <c r="R27" s="43"/>
      <c r="S27" s="43"/>
    </row>
    <row r="28" spans="3:19" x14ac:dyDescent="0.35">
      <c r="C28" s="23"/>
      <c r="E28" s="2"/>
      <c r="F28" s="9"/>
      <c r="G28" s="2"/>
      <c r="J28" s="2"/>
      <c r="K28" s="9"/>
      <c r="L28" s="4"/>
      <c r="N28" s="43" t="s">
        <v>158</v>
      </c>
      <c r="O28" s="43"/>
      <c r="P28" s="43"/>
      <c r="Q28" s="43"/>
      <c r="R28" s="43"/>
      <c r="S28" s="43"/>
    </row>
    <row r="29" spans="3:19" x14ac:dyDescent="0.35">
      <c r="C29" s="23"/>
      <c r="E29" s="2"/>
      <c r="F29" s="9"/>
      <c r="G29" s="2"/>
      <c r="J29" s="2"/>
      <c r="K29" s="9"/>
      <c r="L29" s="4"/>
      <c r="N29" s="43"/>
      <c r="O29" s="43"/>
      <c r="P29" s="43"/>
      <c r="Q29" s="43"/>
      <c r="R29" s="43"/>
      <c r="S29" s="43"/>
    </row>
    <row r="30" spans="3:19" x14ac:dyDescent="0.35">
      <c r="C30" s="23"/>
      <c r="E30" s="2"/>
      <c r="F30" s="9"/>
      <c r="G30" s="2"/>
      <c r="J30" s="2"/>
      <c r="K30" s="9"/>
      <c r="L30" s="2"/>
      <c r="N30" s="43"/>
      <c r="O30" s="43"/>
      <c r="P30" s="43"/>
      <c r="Q30" s="43"/>
      <c r="R30" s="43"/>
      <c r="S30" s="43"/>
    </row>
    <row r="31" spans="3:19" x14ac:dyDescent="0.35">
      <c r="C31" s="23"/>
      <c r="E31" s="2"/>
      <c r="F31" s="9"/>
      <c r="G31" s="2"/>
      <c r="J31" s="2"/>
      <c r="K31" s="9"/>
      <c r="L31" s="2"/>
      <c r="N31" s="43"/>
      <c r="O31" s="43"/>
      <c r="P31" s="43"/>
      <c r="Q31" s="43"/>
      <c r="R31" s="43"/>
      <c r="S31" s="43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A6" workbookViewId="0">
      <selection activeCell="F6" sqref="F6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93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97</v>
      </c>
    </row>
    <row r="7" spans="2:12" x14ac:dyDescent="0.35">
      <c r="B7" s="21" t="s">
        <v>14</v>
      </c>
      <c r="C7" s="25" t="s">
        <v>98</v>
      </c>
    </row>
    <row r="8" spans="2:12" x14ac:dyDescent="0.35">
      <c r="B8" s="21" t="s">
        <v>31</v>
      </c>
      <c r="C8" s="25" t="s">
        <v>99</v>
      </c>
    </row>
    <row r="9" spans="2:12" ht="15" thickBot="1" x14ac:dyDescent="0.4">
      <c r="B9" s="22" t="s">
        <v>32</v>
      </c>
      <c r="C9" s="26" t="s">
        <v>100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101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102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103</v>
      </c>
      <c r="K14" s="9">
        <v>2.25</v>
      </c>
      <c r="L14" s="4" t="s">
        <v>8</v>
      </c>
    </row>
    <row r="15" spans="2:12" x14ac:dyDescent="0.35">
      <c r="C15" s="23"/>
      <c r="E15" s="2" t="s">
        <v>90</v>
      </c>
      <c r="F15" s="9">
        <v>45.15</v>
      </c>
      <c r="G15" s="2" t="s">
        <v>88</v>
      </c>
      <c r="J15" s="4" t="s">
        <v>104</v>
      </c>
      <c r="K15" s="9">
        <v>3</v>
      </c>
      <c r="L15" s="4" t="s">
        <v>8</v>
      </c>
    </row>
    <row r="16" spans="2:12" x14ac:dyDescent="0.35">
      <c r="C16" s="23"/>
      <c r="E16" s="2" t="s">
        <v>89</v>
      </c>
      <c r="F16" s="9">
        <v>54</v>
      </c>
      <c r="G16" s="2" t="s">
        <v>88</v>
      </c>
      <c r="J16" s="4" t="s">
        <v>105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88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B34" sqref="B34"/>
    </sheetView>
  </sheetViews>
  <sheetFormatPr defaultRowHeight="14.5" x14ac:dyDescent="0.35"/>
  <cols>
    <col min="2" max="2" width="17.81640625" bestFit="1" customWidth="1"/>
    <col min="3" max="3" width="19.906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109</v>
      </c>
    </row>
    <row r="3" spans="2:20" x14ac:dyDescent="0.35">
      <c r="B3" s="27" t="s">
        <v>10</v>
      </c>
      <c r="C3" s="28" t="s">
        <v>27</v>
      </c>
    </row>
    <row r="4" spans="2:20" ht="43.5" x14ac:dyDescent="0.35">
      <c r="B4" s="29" t="s">
        <v>11</v>
      </c>
      <c r="C4" s="37" t="s">
        <v>167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110</v>
      </c>
    </row>
    <row r="7" spans="2:20" x14ac:dyDescent="0.35">
      <c r="B7" s="21" t="s">
        <v>14</v>
      </c>
      <c r="C7" s="25" t="s">
        <v>111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112</v>
      </c>
    </row>
    <row r="10" spans="2:20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1"/>
      <c r="M10" s="42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115</v>
      </c>
    </row>
    <row r="12" spans="2:20" x14ac:dyDescent="0.35">
      <c r="C12" s="23"/>
      <c r="E12" s="4" t="s">
        <v>108</v>
      </c>
      <c r="F12" s="8">
        <v>300</v>
      </c>
      <c r="G12" s="4" t="s">
        <v>23</v>
      </c>
      <c r="J12" s="4" t="s">
        <v>106</v>
      </c>
      <c r="K12" s="8">
        <v>25</v>
      </c>
      <c r="L12" s="4" t="s">
        <v>8</v>
      </c>
      <c r="M12" s="19"/>
      <c r="O12" s="43" t="s">
        <v>124</v>
      </c>
      <c r="P12" s="43"/>
      <c r="Q12" s="43"/>
      <c r="R12" s="43"/>
      <c r="S12" s="43"/>
      <c r="T12" s="43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106</v>
      </c>
      <c r="K13" s="9">
        <v>257.5</v>
      </c>
      <c r="L13" s="4" t="s">
        <v>25</v>
      </c>
      <c r="M13" s="2"/>
      <c r="O13" s="43"/>
      <c r="P13" s="43"/>
      <c r="Q13" s="43"/>
      <c r="R13" s="43"/>
      <c r="S13" s="43"/>
      <c r="T13" s="43"/>
    </row>
    <row r="14" spans="2:20" x14ac:dyDescent="0.35">
      <c r="C14" s="23"/>
      <c r="E14" s="2"/>
      <c r="F14" s="9"/>
      <c r="G14" s="4"/>
      <c r="J14" s="4" t="s">
        <v>5</v>
      </c>
      <c r="K14" s="9">
        <v>68</v>
      </c>
      <c r="L14" s="4" t="s">
        <v>25</v>
      </c>
      <c r="M14" s="2"/>
      <c r="O14" s="43"/>
      <c r="P14" s="43"/>
      <c r="Q14" s="43"/>
      <c r="R14" s="43"/>
      <c r="S14" s="43"/>
      <c r="T14" s="43"/>
    </row>
    <row r="15" spans="2:20" x14ac:dyDescent="0.35">
      <c r="C15" s="23"/>
      <c r="E15" s="2"/>
      <c r="F15" s="9"/>
      <c r="G15" s="2"/>
      <c r="J15" s="4" t="s">
        <v>107</v>
      </c>
      <c r="K15" s="9">
        <v>20</v>
      </c>
      <c r="L15" s="4" t="s">
        <v>8</v>
      </c>
      <c r="M15" s="2"/>
      <c r="O15" s="43"/>
      <c r="P15" s="43"/>
      <c r="Q15" s="43"/>
      <c r="R15" s="43"/>
      <c r="S15" s="43"/>
      <c r="T15" s="43"/>
    </row>
    <row r="16" spans="2:20" x14ac:dyDescent="0.35">
      <c r="C16" s="23"/>
      <c r="E16" s="2"/>
      <c r="F16" s="9"/>
      <c r="G16" s="2"/>
      <c r="J16" s="4" t="s">
        <v>106</v>
      </c>
      <c r="K16" s="9">
        <v>7.5</v>
      </c>
      <c r="L16" s="4" t="s">
        <v>114</v>
      </c>
      <c r="M16" s="2"/>
      <c r="O16" s="43" t="s">
        <v>123</v>
      </c>
      <c r="P16" s="43"/>
      <c r="Q16" s="43"/>
      <c r="R16" s="43"/>
      <c r="S16" s="43"/>
      <c r="T16" s="43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114</v>
      </c>
      <c r="M17" s="2"/>
      <c r="O17" s="43"/>
      <c r="P17" s="43"/>
      <c r="Q17" s="43"/>
      <c r="R17" s="43"/>
      <c r="S17" s="43"/>
      <c r="T17" s="43"/>
    </row>
    <row r="18" spans="3:20" x14ac:dyDescent="0.35">
      <c r="C18" s="23"/>
      <c r="E18" s="2"/>
      <c r="F18" s="9"/>
      <c r="G18" s="2"/>
      <c r="J18" s="4" t="s">
        <v>106</v>
      </c>
      <c r="K18" s="9">
        <v>210</v>
      </c>
      <c r="L18" s="4" t="s">
        <v>154</v>
      </c>
      <c r="M18" s="2"/>
      <c r="O18" s="43"/>
      <c r="P18" s="43"/>
      <c r="Q18" s="43"/>
      <c r="R18" s="43"/>
      <c r="S18" s="43"/>
      <c r="T18" s="43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154</v>
      </c>
      <c r="M19" s="2"/>
      <c r="O19" s="43"/>
      <c r="P19" s="43"/>
      <c r="Q19" s="43"/>
      <c r="R19" s="43"/>
      <c r="S19" s="43"/>
      <c r="T19" s="43"/>
    </row>
    <row r="20" spans="3:20" x14ac:dyDescent="0.35">
      <c r="C20" s="23"/>
      <c r="E20" s="2"/>
      <c r="F20" s="9"/>
      <c r="G20" s="2"/>
      <c r="J20" s="2"/>
      <c r="K20" s="9"/>
      <c r="L20" s="4"/>
      <c r="M20" s="2"/>
    </row>
    <row r="21" spans="3:20" x14ac:dyDescent="0.35">
      <c r="C21" s="23"/>
      <c r="E21" s="2"/>
      <c r="F21" s="9"/>
      <c r="G21" s="2"/>
      <c r="J21" s="2"/>
      <c r="K21" s="9"/>
      <c r="L21" s="4"/>
      <c r="M21" s="2"/>
      <c r="O21" s="44" t="s">
        <v>153</v>
      </c>
      <c r="P21" s="44"/>
      <c r="Q21" s="44"/>
      <c r="R21" s="44"/>
      <c r="S21" s="44"/>
      <c r="T21" s="44"/>
    </row>
    <row r="22" spans="3:20" x14ac:dyDescent="0.35">
      <c r="C22" s="23"/>
      <c r="E22" s="2"/>
      <c r="F22" s="9"/>
      <c r="G22" s="2"/>
      <c r="J22" s="2"/>
      <c r="K22" s="9"/>
      <c r="L22" s="4"/>
      <c r="M22" s="2"/>
    </row>
    <row r="23" spans="3:20" x14ac:dyDescent="0.35">
      <c r="C23" s="23"/>
      <c r="E23" s="2"/>
      <c r="F23" s="9"/>
      <c r="G23" s="2"/>
      <c r="J23" s="2"/>
      <c r="K23" s="9"/>
      <c r="L23" s="4"/>
      <c r="M23" s="2"/>
      <c r="O23" s="43" t="s">
        <v>156</v>
      </c>
      <c r="P23" s="43"/>
      <c r="Q23" s="43"/>
      <c r="R23" s="43"/>
      <c r="S23" s="43"/>
      <c r="T23" s="43"/>
    </row>
    <row r="24" spans="3:20" x14ac:dyDescent="0.35">
      <c r="C24" s="23"/>
      <c r="E24" s="2"/>
      <c r="F24" s="9"/>
      <c r="G24" s="2"/>
      <c r="J24" s="2"/>
      <c r="K24" s="9"/>
      <c r="L24" s="4"/>
      <c r="M24" s="2"/>
      <c r="O24" s="43"/>
      <c r="P24" s="43"/>
      <c r="Q24" s="43"/>
      <c r="R24" s="43"/>
      <c r="S24" s="43"/>
      <c r="T24" s="43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43"/>
      <c r="P25" s="43"/>
      <c r="Q25" s="43"/>
      <c r="R25" s="43"/>
      <c r="S25" s="43"/>
      <c r="T25" s="43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43"/>
      <c r="P26" s="43"/>
      <c r="Q26" s="43"/>
      <c r="R26" s="43"/>
      <c r="S26" s="43"/>
      <c r="T26" s="43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43" t="s">
        <v>157</v>
      </c>
      <c r="P27" s="43"/>
      <c r="Q27" s="43"/>
      <c r="R27" s="43"/>
      <c r="S27" s="43"/>
      <c r="T27" s="43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43"/>
      <c r="P28" s="43"/>
      <c r="Q28" s="43"/>
      <c r="R28" s="43"/>
      <c r="S28" s="43"/>
      <c r="T28" s="43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43"/>
      <c r="P29" s="43"/>
      <c r="Q29" s="43"/>
      <c r="R29" s="43"/>
      <c r="S29" s="43"/>
      <c r="T29" s="43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43"/>
      <c r="P30" s="43"/>
      <c r="Q30" s="43"/>
      <c r="R30" s="43"/>
      <c r="S30" s="43"/>
      <c r="T30" s="43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114</v>
      </c>
    </row>
    <row r="3" spans="2:12" ht="87" x14ac:dyDescent="0.35">
      <c r="B3" s="27" t="s">
        <v>10</v>
      </c>
      <c r="C3" s="28" t="s">
        <v>127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128</v>
      </c>
    </row>
    <row r="7" spans="2:12" x14ac:dyDescent="0.35">
      <c r="B7" s="21" t="s">
        <v>14</v>
      </c>
      <c r="C7" s="25" t="s">
        <v>129</v>
      </c>
    </row>
    <row r="8" spans="2:12" x14ac:dyDescent="0.35">
      <c r="B8" s="21" t="s">
        <v>31</v>
      </c>
      <c r="C8" s="25" t="s">
        <v>130</v>
      </c>
    </row>
    <row r="9" spans="2:12" ht="15" thickBot="1" x14ac:dyDescent="0.4">
      <c r="B9" s="22" t="s">
        <v>32</v>
      </c>
      <c r="C9" s="26" t="s">
        <v>131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126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125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109</v>
      </c>
      <c r="J16" s="4"/>
      <c r="K16" s="9"/>
      <c r="L16" s="4"/>
    </row>
    <row r="17" spans="3:12" x14ac:dyDescent="0.35">
      <c r="C17" s="23"/>
      <c r="E17" s="2" t="s">
        <v>106</v>
      </c>
      <c r="F17" s="9">
        <v>7.5</v>
      </c>
      <c r="G17" s="2" t="s">
        <v>109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C1" workbookViewId="0">
      <selection activeCell="G61" sqref="G61"/>
    </sheetView>
  </sheetViews>
  <sheetFormatPr defaultRowHeight="14.5" x14ac:dyDescent="0.35"/>
  <cols>
    <col min="2" max="2" width="17.81640625" bestFit="1" customWidth="1"/>
    <col min="3" max="3" width="16" bestFit="1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7.81640625" bestFit="1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134</v>
      </c>
    </row>
    <row r="3" spans="2:12" x14ac:dyDescent="0.35">
      <c r="B3" s="27" t="s">
        <v>10</v>
      </c>
      <c r="C3" s="28" t="s">
        <v>44</v>
      </c>
    </row>
    <row r="4" spans="2:12" x14ac:dyDescent="0.35">
      <c r="B4" s="21" t="s">
        <v>11</v>
      </c>
      <c r="C4" s="25" t="s">
        <v>154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142</v>
      </c>
    </row>
    <row r="7" spans="2:12" x14ac:dyDescent="0.35">
      <c r="B7" s="21" t="s">
        <v>14</v>
      </c>
      <c r="C7" s="25" t="s">
        <v>143</v>
      </c>
    </row>
    <row r="8" spans="2:12" x14ac:dyDescent="0.35">
      <c r="B8" s="21" t="s">
        <v>31</v>
      </c>
      <c r="C8" s="25" t="s">
        <v>144</v>
      </c>
    </row>
    <row r="9" spans="2:12" ht="15" thickBot="1" x14ac:dyDescent="0.4">
      <c r="B9" s="22" t="s">
        <v>32</v>
      </c>
      <c r="C9" s="26" t="s">
        <v>145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135</v>
      </c>
      <c r="F12" s="8">
        <v>600</v>
      </c>
      <c r="G12" s="4" t="s">
        <v>60</v>
      </c>
      <c r="J12" s="4" t="s">
        <v>138</v>
      </c>
      <c r="K12" s="8">
        <v>49.332999999999998</v>
      </c>
      <c r="L12" s="4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138</v>
      </c>
      <c r="K13" s="9">
        <v>246.666</v>
      </c>
      <c r="L13" s="4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139</v>
      </c>
      <c r="K14" s="9">
        <v>12</v>
      </c>
      <c r="L14" s="4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140</v>
      </c>
      <c r="K15" s="9">
        <v>45</v>
      </c>
      <c r="L15" s="4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136</v>
      </c>
      <c r="J16" s="4" t="s">
        <v>141</v>
      </c>
      <c r="K16" s="9">
        <v>62</v>
      </c>
      <c r="L16" s="4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137</v>
      </c>
      <c r="J17" s="4" t="s">
        <v>90</v>
      </c>
      <c r="K17" s="9">
        <v>410</v>
      </c>
      <c r="L17" s="4" t="s">
        <v>25</v>
      </c>
    </row>
    <row r="18" spans="3:12" x14ac:dyDescent="0.35">
      <c r="C18" s="23"/>
      <c r="E18" s="2"/>
      <c r="F18" s="9"/>
      <c r="G18" s="2"/>
      <c r="J18" s="4" t="s">
        <v>141</v>
      </c>
      <c r="K18" s="9">
        <v>160</v>
      </c>
      <c r="L18" s="4" t="s">
        <v>154</v>
      </c>
    </row>
    <row r="19" spans="3:12" x14ac:dyDescent="0.35">
      <c r="C19" s="23"/>
      <c r="E19" s="2"/>
      <c r="F19" s="9"/>
      <c r="G19" s="2"/>
      <c r="J19" s="2" t="s">
        <v>175</v>
      </c>
      <c r="K19" s="9">
        <v>5</v>
      </c>
      <c r="L19" s="4" t="s">
        <v>8</v>
      </c>
    </row>
    <row r="20" spans="3:12" x14ac:dyDescent="0.35">
      <c r="C20" s="23"/>
      <c r="E20" s="2"/>
      <c r="F20" s="9"/>
      <c r="G20" s="2"/>
      <c r="J20" s="4" t="s">
        <v>140</v>
      </c>
      <c r="K20" s="9">
        <v>150</v>
      </c>
      <c r="L20" s="4" t="s">
        <v>176</v>
      </c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topLeftCell="C1" workbookViewId="0">
      <selection activeCell="B2" sqref="B2:L44"/>
    </sheetView>
  </sheetViews>
  <sheetFormatPr defaultRowHeight="14.5" x14ac:dyDescent="0.35"/>
  <cols>
    <col min="2" max="2" width="17.81640625" bestFit="1" customWidth="1"/>
    <col min="3" max="3" width="17" bestFit="1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154</v>
      </c>
    </row>
    <row r="3" spans="2:12" ht="74.5" customHeight="1" x14ac:dyDescent="0.35">
      <c r="B3" s="27" t="s">
        <v>10</v>
      </c>
      <c r="C3" s="28" t="s">
        <v>162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171</v>
      </c>
    </row>
    <row r="7" spans="2:12" x14ac:dyDescent="0.35">
      <c r="B7" s="21" t="s">
        <v>14</v>
      </c>
      <c r="C7" s="25" t="s">
        <v>172</v>
      </c>
    </row>
    <row r="8" spans="2:12" x14ac:dyDescent="0.35">
      <c r="B8" s="21" t="s">
        <v>31</v>
      </c>
      <c r="C8" s="25" t="s">
        <v>173</v>
      </c>
    </row>
    <row r="9" spans="2:12" ht="15" thickBot="1" x14ac:dyDescent="0.4">
      <c r="B9" s="22" t="s">
        <v>32</v>
      </c>
      <c r="C9" s="26" t="s">
        <v>174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137</v>
      </c>
      <c r="J12" s="38">
        <v>10</v>
      </c>
      <c r="K12" s="8" t="s">
        <v>169</v>
      </c>
      <c r="L12" s="4" t="s">
        <v>8</v>
      </c>
    </row>
    <row r="13" spans="2:12" x14ac:dyDescent="0.35">
      <c r="C13" s="23"/>
      <c r="E13" s="2" t="s">
        <v>90</v>
      </c>
      <c r="F13" s="9">
        <v>606</v>
      </c>
      <c r="G13" s="4" t="s">
        <v>88</v>
      </c>
      <c r="J13" s="38">
        <v>10</v>
      </c>
      <c r="K13" s="9" t="s">
        <v>170</v>
      </c>
      <c r="L13" s="4" t="s">
        <v>8</v>
      </c>
    </row>
    <row r="14" spans="2:12" x14ac:dyDescent="0.35">
      <c r="C14" s="23"/>
      <c r="E14" s="2" t="s">
        <v>89</v>
      </c>
      <c r="F14" s="9">
        <v>300</v>
      </c>
      <c r="G14" s="4" t="s">
        <v>88</v>
      </c>
      <c r="J14" s="38"/>
      <c r="K14" s="9"/>
      <c r="L14" s="4"/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/>
      <c r="K15" s="9"/>
      <c r="L15" s="4"/>
    </row>
    <row r="16" spans="2:12" x14ac:dyDescent="0.35">
      <c r="C16" s="23"/>
      <c r="E16" s="2" t="s">
        <v>106</v>
      </c>
      <c r="F16" s="9">
        <v>210</v>
      </c>
      <c r="G16" s="2" t="s">
        <v>109</v>
      </c>
      <c r="J16" s="38"/>
      <c r="K16" s="9"/>
      <c r="L16" s="4"/>
    </row>
    <row r="17" spans="3:12" x14ac:dyDescent="0.35">
      <c r="C17" s="23"/>
      <c r="E17" s="2" t="s">
        <v>5</v>
      </c>
      <c r="F17" s="9">
        <v>280</v>
      </c>
      <c r="G17" s="2" t="s">
        <v>109</v>
      </c>
      <c r="J17" s="38"/>
      <c r="K17" s="9"/>
      <c r="L17" s="4"/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168</v>
      </c>
      <c r="F19" s="9">
        <v>160</v>
      </c>
      <c r="G19" s="2" t="s">
        <v>134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workbookViewId="0">
      <selection activeCell="F66" sqref="F66"/>
    </sheetView>
  </sheetViews>
  <sheetFormatPr defaultRowHeight="14.5" x14ac:dyDescent="0.35"/>
  <cols>
    <col min="2" max="2" width="17.81640625" bestFit="1" customWidth="1"/>
    <col min="3" max="3" width="17" bestFit="1" customWidth="1"/>
    <col min="5" max="5" width="14.90625" bestFit="1" customWidth="1"/>
    <col min="6" max="6" width="7.81640625" bestFit="1" customWidth="1"/>
    <col min="7" max="7" width="16.36328125" bestFit="1" customWidth="1"/>
    <col min="10" max="10" width="6.5429687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176</v>
      </c>
    </row>
    <row r="3" spans="2:12" x14ac:dyDescent="0.35">
      <c r="B3" s="27" t="s">
        <v>10</v>
      </c>
      <c r="C3" s="28" t="s">
        <v>134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180</v>
      </c>
    </row>
    <row r="6" spans="2:12" x14ac:dyDescent="0.35">
      <c r="B6" s="21" t="s">
        <v>13</v>
      </c>
      <c r="C6" s="25" t="s">
        <v>181</v>
      </c>
    </row>
    <row r="7" spans="2:12" x14ac:dyDescent="0.35">
      <c r="B7" s="21" t="s">
        <v>14</v>
      </c>
      <c r="C7" s="25" t="s">
        <v>179</v>
      </c>
    </row>
    <row r="8" spans="2:12" x14ac:dyDescent="0.35">
      <c r="B8" s="21" t="s">
        <v>31</v>
      </c>
      <c r="C8" s="25" t="s">
        <v>177</v>
      </c>
    </row>
    <row r="9" spans="2:12" ht="15" thickBot="1" x14ac:dyDescent="0.4">
      <c r="B9" s="22" t="s">
        <v>32</v>
      </c>
      <c r="C9" s="26" t="s">
        <v>178</v>
      </c>
    </row>
    <row r="10" spans="2:12" ht="15" thickBot="1" x14ac:dyDescent="0.4">
      <c r="C10" s="23"/>
      <c r="E10" s="40" t="s">
        <v>15</v>
      </c>
      <c r="F10" s="41"/>
      <c r="G10" s="42"/>
      <c r="J10" s="40" t="s">
        <v>16</v>
      </c>
      <c r="K10" s="41"/>
      <c r="L10" s="42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980.42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182</v>
      </c>
      <c r="F13" s="9">
        <v>300</v>
      </c>
      <c r="G13" s="4" t="s">
        <v>183</v>
      </c>
      <c r="J13" s="38">
        <v>12.5</v>
      </c>
      <c r="K13" s="9" t="s">
        <v>184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185</v>
      </c>
      <c r="L14" s="4" t="s">
        <v>8</v>
      </c>
    </row>
    <row r="15" spans="2:12" x14ac:dyDescent="0.35">
      <c r="C15" s="23"/>
      <c r="E15" s="2" t="s">
        <v>140</v>
      </c>
      <c r="F15" s="9">
        <v>150</v>
      </c>
      <c r="G15" s="2" t="s">
        <v>134</v>
      </c>
      <c r="J15" s="38">
        <v>150</v>
      </c>
      <c r="K15" s="9" t="s">
        <v>186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/>
      <c r="K16" s="9"/>
      <c r="L16" s="4"/>
    </row>
    <row r="17" spans="3:12" x14ac:dyDescent="0.35">
      <c r="C17" s="23"/>
      <c r="E17" s="2" t="s">
        <v>17</v>
      </c>
      <c r="F17" s="9">
        <v>200</v>
      </c>
      <c r="G17" s="2" t="s">
        <v>21</v>
      </c>
      <c r="J17" s="38"/>
      <c r="K17" s="9"/>
      <c r="L17" s="4"/>
    </row>
    <row r="18" spans="3:12" x14ac:dyDescent="0.35">
      <c r="C18" s="23"/>
      <c r="E18" s="2"/>
      <c r="F18" s="9"/>
      <c r="G18" s="2"/>
      <c r="J18" s="38"/>
      <c r="K18" s="9"/>
      <c r="L18" s="4"/>
    </row>
    <row r="19" spans="3:12" x14ac:dyDescent="0.35">
      <c r="C19" s="23"/>
      <c r="E19" s="2"/>
      <c r="F19" s="9"/>
      <c r="G19" s="2"/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Kaladesh Refinery</vt:lpstr>
      <vt:lpstr>The Abyssal Chains of Shandalar</vt:lpstr>
      <vt:lpstr>Riveteers District</vt:lpstr>
      <vt:lpstr>Phyrexian Datavault</vt:lpstr>
      <vt:lpstr>Jund Pyroclast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2025-03-11T03:29:46Z</dcterms:modified>
</cp:coreProperties>
</file>