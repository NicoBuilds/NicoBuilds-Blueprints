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The Interplanar Beacon 7\Game Stuff\"/>
    </mc:Choice>
  </mc:AlternateContent>
  <xr:revisionPtr revIDLastSave="0" documentId="13_ncr:1_{4770DB44-CB90-45E0-85CA-E14B656CE9BA}" xr6:coauthVersionLast="47" xr6:coauthVersionMax="47" xr10:uidLastSave="{00000000-0000-0000-0000-000000000000}"/>
  <bookViews>
    <workbookView xWindow="-110" yWindow="-110" windowWidth="38620" windowHeight="21100" xr2:uid="{E9D95B66-7EA4-4203-9BE9-B35EAC251241}"/>
  </bookViews>
  <sheets>
    <sheet name="Material Summary" sheetId="1" r:id="rId1"/>
    <sheet name="Chandra Flameworks" sheetId="2" r:id="rId2"/>
    <sheet name="Darksteel Forge" sheetId="3" r:id="rId3"/>
    <sheet name="Oran-Rief Mines" sheetId="5" r:id="rId4"/>
    <sheet name="Xantcha's Crucible" sheetId="4" r:id="rId5"/>
    <sheet name="Thran Foundry" sheetId="6" r:id="rId6"/>
    <sheet name="Neko's Nexus" sheetId="7" r:id="rId7"/>
    <sheet name="Ketria Crystals" sheetId="8" r:id="rId8"/>
    <sheet name="Ghirapur Gridworks" sheetId="10" r:id="rId9"/>
    <sheet name="The Abyssal Chains of Shandalar" sheetId="12" r:id="rId10"/>
    <sheet name="Kaladesh Refinery" sheetId="11" r:id="rId11"/>
    <sheet name="Riveteers District" sheetId="13" r:id="rId12"/>
    <sheet name="Phyrexian Datavault" sheetId="14" r:id="rId13"/>
    <sheet name="Jund Pyroclast" sheetId="15" r:id="rId14"/>
    <sheet name="Keldon Armory" sheetId="18" r:id="rId15"/>
    <sheet name="Urabrask's Refinery" sheetId="16" r:id="rId16"/>
    <sheet name="Obelisks of Alara " sheetId="19" r:id="rId17"/>
    <sheet name="Karn's Conduit" sheetId="20" r:id="rId18"/>
    <sheet name="Thassa's Pulse" sheetId="21" r:id="rId19"/>
    <sheet name="Tollarian Meltdown" sheetId="22" r:id="rId20"/>
    <sheet name="The Mirrodin Trigon" sheetId="23" r:id="rId21"/>
    <sheet name="Simic Subline" sheetId="24" r:id="rId22"/>
    <sheet name="Aetherflux Reactor" sheetId="26" r:id="rId23"/>
    <sheet name="Ydris’ Nexus" sheetId="25" r:id="rId24"/>
    <sheet name="The Fourfold Furnace" sheetId="27" r:id="rId25"/>
    <sheet name="The Interplanar Beacon" sheetId="28" r:id="rId2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2" i="19" l="1"/>
  <c r="L64" i="13"/>
  <c r="L66" i="13"/>
  <c r="T25" i="28"/>
  <c r="U25" i="28" s="1"/>
  <c r="T24" i="28"/>
  <c r="U24" i="28" s="1"/>
  <c r="T23" i="28"/>
  <c r="U23" i="28" s="1"/>
  <c r="T22" i="28"/>
  <c r="U22" i="28"/>
  <c r="T21" i="28"/>
  <c r="U21" i="28" s="1"/>
  <c r="T20" i="28"/>
  <c r="U20" i="28" s="1"/>
  <c r="T19" i="28"/>
  <c r="U19" i="28" s="1"/>
  <c r="T18" i="28"/>
  <c r="U18" i="28" s="1"/>
  <c r="T17" i="28"/>
  <c r="U17" i="28" s="1"/>
  <c r="T16" i="28"/>
  <c r="U16" i="28" s="1"/>
  <c r="G70" i="28"/>
  <c r="G68" i="28"/>
  <c r="G67" i="28"/>
  <c r="G66" i="28"/>
  <c r="G65" i="28"/>
  <c r="G64" i="28"/>
  <c r="G63" i="28"/>
  <c r="G31" i="28"/>
  <c r="G54" i="28"/>
  <c r="G53" i="28"/>
  <c r="K13" i="13"/>
  <c r="K30" i="13"/>
  <c r="G46" i="28"/>
  <c r="G69" i="28" s="1"/>
  <c r="I110" i="1"/>
  <c r="K33" i="26"/>
  <c r="J12" i="14"/>
  <c r="D27" i="1"/>
  <c r="K18" i="27"/>
  <c r="K24" i="26"/>
  <c r="D23" i="1" s="1"/>
  <c r="K28" i="13"/>
  <c r="G40" i="28"/>
  <c r="G39" i="28"/>
  <c r="G62" i="28" s="1"/>
  <c r="G38" i="28"/>
  <c r="G37" i="28"/>
  <c r="G36" i="28"/>
  <c r="G33" i="28"/>
  <c r="G61" i="28" s="1"/>
  <c r="G32" i="28"/>
  <c r="G30" i="28"/>
  <c r="G59" i="28" s="1"/>
  <c r="G29" i="28"/>
  <c r="G28" i="28"/>
  <c r="L29" i="18"/>
  <c r="L30" i="18"/>
  <c r="D22" i="1"/>
  <c r="K22" i="26"/>
  <c r="K42" i="26"/>
  <c r="G27" i="28"/>
  <c r="G58" i="28" s="1"/>
  <c r="G25" i="28"/>
  <c r="G24" i="28"/>
  <c r="G23" i="28"/>
  <c r="G22" i="28"/>
  <c r="G21" i="28"/>
  <c r="G60" i="28" s="1"/>
  <c r="K16" i="26"/>
  <c r="I40" i="1"/>
  <c r="K16" i="13"/>
  <c r="D18" i="1"/>
  <c r="L20" i="22"/>
  <c r="L34" i="22"/>
  <c r="K31" i="26"/>
  <c r="D24" i="1" s="1"/>
  <c r="K39" i="26"/>
  <c r="D26" i="1"/>
  <c r="D21" i="1"/>
  <c r="D20" i="1"/>
  <c r="D17" i="1"/>
  <c r="D16" i="1"/>
  <c r="D14" i="1"/>
  <c r="L15" i="28"/>
  <c r="K16" i="27"/>
  <c r="K15" i="27"/>
  <c r="G20" i="28"/>
  <c r="G18" i="28"/>
  <c r="G55" i="28" s="1"/>
  <c r="L21" i="22"/>
  <c r="G19" i="28"/>
  <c r="G17" i="28"/>
  <c r="G15" i="28"/>
  <c r="T14" i="28"/>
  <c r="U14" i="28" s="1"/>
  <c r="T15" i="28"/>
  <c r="U15" i="28" s="1"/>
  <c r="L14" i="28"/>
  <c r="I115" i="1" s="1"/>
  <c r="F19" i="25"/>
  <c r="F16" i="25"/>
  <c r="F15" i="25"/>
  <c r="F19" i="27"/>
  <c r="I111" i="1"/>
  <c r="I101" i="1"/>
  <c r="I99" i="1"/>
  <c r="I97" i="1"/>
  <c r="F16" i="27"/>
  <c r="O29" i="27"/>
  <c r="P20" i="27"/>
  <c r="P19" i="27"/>
  <c r="Q19" i="27" s="1"/>
  <c r="Q18" i="27"/>
  <c r="Q20" i="27"/>
  <c r="P18" i="27"/>
  <c r="Q17" i="27"/>
  <c r="P17" i="27"/>
  <c r="Q16" i="27"/>
  <c r="P16" i="27"/>
  <c r="P15" i="27"/>
  <c r="Q15" i="27" s="1"/>
  <c r="K19" i="25"/>
  <c r="K13" i="25" s="1"/>
  <c r="O25" i="26"/>
  <c r="R24" i="26"/>
  <c r="R23" i="26"/>
  <c r="R22" i="26"/>
  <c r="R21" i="26"/>
  <c r="R20" i="26"/>
  <c r="R19" i="26"/>
  <c r="R18" i="26"/>
  <c r="R17" i="26"/>
  <c r="R15" i="26"/>
  <c r="S15" i="26" s="1"/>
  <c r="S18" i="26"/>
  <c r="S17" i="26"/>
  <c r="S16" i="26"/>
  <c r="S19" i="26"/>
  <c r="S20" i="26"/>
  <c r="S21" i="26"/>
  <c r="S22" i="26"/>
  <c r="S23" i="26"/>
  <c r="S24" i="26"/>
  <c r="R16" i="26"/>
  <c r="K72" i="26"/>
  <c r="K71" i="26"/>
  <c r="K68" i="26"/>
  <c r="K67" i="26"/>
  <c r="K66" i="26"/>
  <c r="K61" i="26"/>
  <c r="K54" i="26"/>
  <c r="F70" i="26"/>
  <c r="F56" i="26"/>
  <c r="F54" i="26"/>
  <c r="F59" i="26"/>
  <c r="F58" i="26"/>
  <c r="F30" i="26"/>
  <c r="F38" i="26"/>
  <c r="F41" i="26"/>
  <c r="F16" i="26"/>
  <c r="F61" i="26" s="1"/>
  <c r="K34" i="26"/>
  <c r="K70" i="26"/>
  <c r="K19" i="26"/>
  <c r="K17" i="26"/>
  <c r="F50" i="26"/>
  <c r="F39" i="26"/>
  <c r="F47" i="26"/>
  <c r="F46" i="26"/>
  <c r="F44" i="26"/>
  <c r="F43" i="26"/>
  <c r="J13" i="14"/>
  <c r="D6" i="1"/>
  <c r="F36" i="26"/>
  <c r="F69" i="26" s="1"/>
  <c r="F37" i="26"/>
  <c r="F71" i="26" s="1"/>
  <c r="K24" i="11"/>
  <c r="F29" i="26"/>
  <c r="F26" i="26"/>
  <c r="F25" i="26"/>
  <c r="F24" i="26"/>
  <c r="F23" i="26"/>
  <c r="F21" i="26"/>
  <c r="F20" i="26"/>
  <c r="D10" i="1"/>
  <c r="K14" i="11"/>
  <c r="K13" i="11"/>
  <c r="I94" i="1"/>
  <c r="K21" i="23"/>
  <c r="O15" i="16"/>
  <c r="J12" i="16"/>
  <c r="J18" i="16"/>
  <c r="K15" i="26"/>
  <c r="F18" i="26"/>
  <c r="F72" i="26" s="1"/>
  <c r="F15" i="26"/>
  <c r="L25" i="22"/>
  <c r="L33" i="22"/>
  <c r="I89" i="1"/>
  <c r="K17" i="25"/>
  <c r="Q25" i="25"/>
  <c r="Q26" i="25"/>
  <c r="P24" i="25"/>
  <c r="P23" i="25"/>
  <c r="P22" i="25"/>
  <c r="Q22" i="25" s="1"/>
  <c r="P21" i="25"/>
  <c r="P20" i="25"/>
  <c r="P19" i="25"/>
  <c r="P18" i="25"/>
  <c r="P17" i="25"/>
  <c r="P16" i="25"/>
  <c r="Q16" i="25" s="1"/>
  <c r="Q14" i="25"/>
  <c r="Q15" i="25"/>
  <c r="Q17" i="25"/>
  <c r="Q18" i="25"/>
  <c r="Q19" i="25"/>
  <c r="Q20" i="25"/>
  <c r="Q21" i="25"/>
  <c r="Q23" i="25"/>
  <c r="Q24" i="25"/>
  <c r="Q13" i="25"/>
  <c r="O27" i="25" s="1"/>
  <c r="L15" i="3"/>
  <c r="F22" i="24"/>
  <c r="F23" i="24"/>
  <c r="F21" i="24"/>
  <c r="I41" i="1"/>
  <c r="F17" i="24"/>
  <c r="L25" i="3"/>
  <c r="F20" i="24"/>
  <c r="K13" i="6"/>
  <c r="K20" i="6"/>
  <c r="K18" i="13"/>
  <c r="K14" i="8"/>
  <c r="D13" i="1" s="1"/>
  <c r="I62" i="1"/>
  <c r="K13" i="5"/>
  <c r="K16" i="5"/>
  <c r="K21" i="5"/>
  <c r="F14" i="24"/>
  <c r="J14" i="16"/>
  <c r="J16" i="16"/>
  <c r="F22" i="23"/>
  <c r="F21" i="23"/>
  <c r="F19" i="23"/>
  <c r="D8" i="1"/>
  <c r="L24" i="3"/>
  <c r="F17" i="23"/>
  <c r="AB94" i="22"/>
  <c r="F6" i="16"/>
  <c r="I47" i="1"/>
  <c r="J15" i="15"/>
  <c r="F39" i="22"/>
  <c r="F21" i="22"/>
  <c r="F38" i="22"/>
  <c r="J15" i="16"/>
  <c r="F30" i="22"/>
  <c r="K19" i="6"/>
  <c r="X21" i="22"/>
  <c r="F35" i="22" s="1"/>
  <c r="V22" i="22"/>
  <c r="K18" i="6" s="1"/>
  <c r="T29" i="22"/>
  <c r="T30" i="22" s="1"/>
  <c r="Q22" i="22"/>
  <c r="R29" i="22" s="1"/>
  <c r="R30" i="22" s="1"/>
  <c r="Q21" i="22"/>
  <c r="O25" i="22"/>
  <c r="O24" i="22"/>
  <c r="O22" i="22"/>
  <c r="O21" i="22"/>
  <c r="F27" i="22"/>
  <c r="L23" i="3"/>
  <c r="F31" i="22"/>
  <c r="F26" i="22"/>
  <c r="F28" i="22"/>
  <c r="K20" i="4"/>
  <c r="K13" i="4" s="1"/>
  <c r="K22" i="11"/>
  <c r="F22" i="22"/>
  <c r="F29" i="22"/>
  <c r="K26" i="13"/>
  <c r="J18" i="15"/>
  <c r="J17" i="15"/>
  <c r="K25" i="13"/>
  <c r="F20" i="15"/>
  <c r="F18" i="15"/>
  <c r="L22" i="3"/>
  <c r="I69" i="1"/>
  <c r="K12" i="20"/>
  <c r="G57" i="28" l="1"/>
  <c r="G56" i="28"/>
  <c r="P39" i="28"/>
  <c r="D12" i="1"/>
  <c r="F25" i="22"/>
  <c r="Y28" i="22"/>
  <c r="P29" i="22"/>
  <c r="P30" i="22" s="1"/>
  <c r="W28" i="22"/>
  <c r="W29" i="22" s="1"/>
</calcChain>
</file>

<file path=xl/sharedStrings.xml><?xml version="1.0" encoding="utf-8"?>
<sst xmlns="http://schemas.openxmlformats.org/spreadsheetml/2006/main" count="2530" uniqueCount="554">
  <si>
    <t>Item</t>
  </si>
  <si>
    <t>Amount</t>
  </si>
  <si>
    <t>Source</t>
  </si>
  <si>
    <t>Packaged Heavy Oil Residue</t>
  </si>
  <si>
    <t>Chandra's Flameworks</t>
  </si>
  <si>
    <t>Plastic</t>
  </si>
  <si>
    <t>Fabric</t>
  </si>
  <si>
    <t>Available for use</t>
  </si>
  <si>
    <t>Dimensional Depot</t>
  </si>
  <si>
    <t>Name</t>
  </si>
  <si>
    <t>Parents</t>
  </si>
  <si>
    <t>Children</t>
  </si>
  <si>
    <t>Power Production</t>
  </si>
  <si>
    <t>Power Consumption</t>
  </si>
  <si>
    <t xml:space="preserve">Net Gain </t>
  </si>
  <si>
    <t>Inputs</t>
  </si>
  <si>
    <t>Outputs</t>
  </si>
  <si>
    <t>Coal</t>
  </si>
  <si>
    <t>Sulfur</t>
  </si>
  <si>
    <t>Water</t>
  </si>
  <si>
    <t>Oil</t>
  </si>
  <si>
    <t>Miner</t>
  </si>
  <si>
    <t>Water Extractor</t>
  </si>
  <si>
    <t>Oil Extractor</t>
  </si>
  <si>
    <t>Destination</t>
  </si>
  <si>
    <t>Available</t>
  </si>
  <si>
    <t>Heavy Oil Residue</t>
  </si>
  <si>
    <t>None</t>
  </si>
  <si>
    <t>20000 Mw</t>
  </si>
  <si>
    <t>3672.6 MW</t>
  </si>
  <si>
    <t>16327.4 MW</t>
  </si>
  <si>
    <t>Storage</t>
  </si>
  <si>
    <t>Cut-Time</t>
  </si>
  <si>
    <t>Darksteel Forge</t>
  </si>
  <si>
    <t>Iron Ore</t>
  </si>
  <si>
    <t>Iron Ingot</t>
  </si>
  <si>
    <t>0 Mw</t>
  </si>
  <si>
    <t>2268.3 MW</t>
  </si>
  <si>
    <t>4600 MW</t>
  </si>
  <si>
    <t>2.02 Hours</t>
  </si>
  <si>
    <t>-2268.3 MW</t>
  </si>
  <si>
    <t>Iron Ingots</t>
  </si>
  <si>
    <t xml:space="preserve">Darksteel Forge </t>
  </si>
  <si>
    <t>Copper Ingots</t>
  </si>
  <si>
    <t>Xantcha's Crucible</t>
  </si>
  <si>
    <t>2286 MW</t>
  </si>
  <si>
    <t>-2286 MW</t>
  </si>
  <si>
    <t>8800 MWh</t>
  </si>
  <si>
    <t>3.84 Hours</t>
  </si>
  <si>
    <t>Copper Ore</t>
  </si>
  <si>
    <t>Oran-Rief Mines</t>
  </si>
  <si>
    <t>2200 MWh</t>
  </si>
  <si>
    <t>Caterium Ore</t>
  </si>
  <si>
    <t>Caterium Ingots</t>
  </si>
  <si>
    <t>Steel Ingots</t>
  </si>
  <si>
    <t>Thran Foundry</t>
  </si>
  <si>
    <t>466.8 MW</t>
  </si>
  <si>
    <t>-466.8 MW</t>
  </si>
  <si>
    <t>2900 MWh</t>
  </si>
  <si>
    <t>6.21 Hours</t>
  </si>
  <si>
    <t>Miners</t>
  </si>
  <si>
    <t>Limestone</t>
  </si>
  <si>
    <t>Water Extractors</t>
  </si>
  <si>
    <t>Heavy Modular Frame</t>
  </si>
  <si>
    <t>Modular Frames</t>
  </si>
  <si>
    <t>Motors</t>
  </si>
  <si>
    <t>Steel Beam</t>
  </si>
  <si>
    <t>Rotors</t>
  </si>
  <si>
    <t>Encased Industrial Beams</t>
  </si>
  <si>
    <t>Stators</t>
  </si>
  <si>
    <t>Quickwire</t>
  </si>
  <si>
    <t>Portable Miners</t>
  </si>
  <si>
    <t>Steel Pipes</t>
  </si>
  <si>
    <t>Concrete</t>
  </si>
  <si>
    <t>Reinforced Iron Plate</t>
  </si>
  <si>
    <t>Cable</t>
  </si>
  <si>
    <t>Wire</t>
  </si>
  <si>
    <t>Copper Sheet</t>
  </si>
  <si>
    <t>Iron Plate</t>
  </si>
  <si>
    <t>Iron Rods</t>
  </si>
  <si>
    <t>Screws</t>
  </si>
  <si>
    <t>Neko's Nexus</t>
  </si>
  <si>
    <t>Darksteel Forge, Xantcha's Crucible, Oran-Rief Mines, Thran Foundry</t>
  </si>
  <si>
    <t>13.1 GWh</t>
  </si>
  <si>
    <t>Top right belt going to Neko's Nexus has an extra 180 steel on it</t>
  </si>
  <si>
    <t>Ketria Crystals</t>
  </si>
  <si>
    <t>Quartz Crystals</t>
  </si>
  <si>
    <t>Silica</t>
  </si>
  <si>
    <t>Raw Quartz</t>
  </si>
  <si>
    <t>4300 Wh</t>
  </si>
  <si>
    <t>Ghirapur Gridworks</t>
  </si>
  <si>
    <t>Uncompressed Quartz Crystal Line that goes to Ghirapur Gridworks has an extra 189.333</t>
  </si>
  <si>
    <t>Uncompressed Silica Line that goes to Ghirapur Gridworks has an extra 155.40555</t>
  </si>
  <si>
    <t>Top right uncompressed belt going to Neko's Nexus and Ghirapur Gridworks has an extra 82.85 Copper</t>
  </si>
  <si>
    <t>357.9 MW</t>
  </si>
  <si>
    <t>-357.9 MW</t>
  </si>
  <si>
    <t>2400 MWh</t>
  </si>
  <si>
    <t>6.70 Hours</t>
  </si>
  <si>
    <t>Crystal Oscilators</t>
  </si>
  <si>
    <t>High-Speed Connectors</t>
  </si>
  <si>
    <t>AI Limiters</t>
  </si>
  <si>
    <t>Computers</t>
  </si>
  <si>
    <t>Circuit Boards</t>
  </si>
  <si>
    <t>Rubber</t>
  </si>
  <si>
    <t>Empty Canisters</t>
  </si>
  <si>
    <t>Crude Oil</t>
  </si>
  <si>
    <t>Kaladesh Refinery</t>
  </si>
  <si>
    <t>2217.5 MW</t>
  </si>
  <si>
    <t>-2217.5 MW</t>
  </si>
  <si>
    <t>3.96 Hours</t>
  </si>
  <si>
    <t xml:space="preserve">Bottom left belt going to The Abyssal Chains of shandalar has an extra 366.1666 Copper Ingots </t>
  </si>
  <si>
    <t>The Abyssal Chains of Shandalar</t>
  </si>
  <si>
    <t>Belt</t>
  </si>
  <si>
    <t>Bottom Left</t>
  </si>
  <si>
    <t>Top Right</t>
  </si>
  <si>
    <t xml:space="preserve">Middle belt (Middle row and column) going to Neko's Nexus / Ghirapur Gridworks  has an extra 331.25 </t>
  </si>
  <si>
    <t>Row 2 Column 2</t>
  </si>
  <si>
    <t xml:space="preserve">Row 3 Column 1 and 2 </t>
  </si>
  <si>
    <t xml:space="preserve">Iron Ingot </t>
  </si>
  <si>
    <t>Row 2 Column 1</t>
  </si>
  <si>
    <t>Plastic Belt going to the Abyssal Chains of Shandalar (Middle) has an extra 348 Plastic</t>
  </si>
  <si>
    <t>Modular Engines</t>
  </si>
  <si>
    <t>Adaptive Control Units</t>
  </si>
  <si>
    <t>Darksteel Forge, Xantcha's Crucible, Kaladesh Refinery</t>
  </si>
  <si>
    <t>231.9 MW</t>
  </si>
  <si>
    <t>-231.9 MW</t>
  </si>
  <si>
    <t>14.7 GWh</t>
  </si>
  <si>
    <t>63.39 Hours</t>
  </si>
  <si>
    <t>Riverteers District</t>
  </si>
  <si>
    <t>Bottom Right</t>
  </si>
  <si>
    <t>Riveteers District</t>
  </si>
  <si>
    <t>Bauxite</t>
  </si>
  <si>
    <t>Water Exctractors</t>
  </si>
  <si>
    <t xml:space="preserve">Xantcha's Crucible </t>
  </si>
  <si>
    <t>Alclcad Aluminum Sheet</t>
  </si>
  <si>
    <t>Aluminum Scrap</t>
  </si>
  <si>
    <t>Aluminum Ingots</t>
  </si>
  <si>
    <t xml:space="preserve">Aluminum Casing </t>
  </si>
  <si>
    <t>1011.1 MW</t>
  </si>
  <si>
    <t>-1011.1 MW</t>
  </si>
  <si>
    <t>2.17 Hours</t>
  </si>
  <si>
    <t>Alclad Aluminum Sheet</t>
  </si>
  <si>
    <t>1108 MW</t>
  </si>
  <si>
    <t>-1108 MW</t>
  </si>
  <si>
    <t>3.88 Hours</t>
  </si>
  <si>
    <t>On the desert</t>
  </si>
  <si>
    <t>Phyrexian Datavault</t>
  </si>
  <si>
    <t>Silica Line going to Phyrexian Datavault has an extra 29.40555</t>
  </si>
  <si>
    <t>Bottom belt going to  Phyrexian Datavault district has an extra 79.017 Copper</t>
  </si>
  <si>
    <t>Middle belt going to  Phyrexian Datavault district has an extra 174 Copper</t>
  </si>
  <si>
    <t>Aluminum Casing</t>
  </si>
  <si>
    <t>Supercomputers</t>
  </si>
  <si>
    <t>Radio Control Units</t>
  </si>
  <si>
    <t>3397.7 MW</t>
  </si>
  <si>
    <t>-3397.7 MW</t>
  </si>
  <si>
    <t>6000 MWh</t>
  </si>
  <si>
    <t>1.76 Hours</t>
  </si>
  <si>
    <t>Empty Fluid Tank</t>
  </si>
  <si>
    <t>Jund Pyroclast</t>
  </si>
  <si>
    <t>2800 MWh</t>
  </si>
  <si>
    <t>Infinite</t>
  </si>
  <si>
    <t>17042.1 MW</t>
  </si>
  <si>
    <t>18917.3 Mw</t>
  </si>
  <si>
    <t>Nitrogen Gas</t>
  </si>
  <si>
    <t>Extractor</t>
  </si>
  <si>
    <t>Polymer Resin</t>
  </si>
  <si>
    <t>Compacted Coal</t>
  </si>
  <si>
    <t>Packaged Rocket Fuel</t>
  </si>
  <si>
    <t xml:space="preserve">Copper Ingots </t>
  </si>
  <si>
    <t>Keldon Armory</t>
  </si>
  <si>
    <t>Top belt going to Riveteers, Phyrexian Datavault district and Keldon Armory has an extra 103.46666 Copper</t>
  </si>
  <si>
    <t>Top belt going to has an extra 780 Iron Ingots</t>
  </si>
  <si>
    <t>Nobelisk</t>
  </si>
  <si>
    <t>Pulse Nobelisk</t>
  </si>
  <si>
    <t>Cluster Nobelisk</t>
  </si>
  <si>
    <t>Black Powder</t>
  </si>
  <si>
    <t>Smokeless Powder</t>
  </si>
  <si>
    <t>Rifle Ammo</t>
  </si>
  <si>
    <t>Homing Rifle Ammo</t>
  </si>
  <si>
    <t>Turbo Rifle Ammo</t>
  </si>
  <si>
    <t>Iron Rebar</t>
  </si>
  <si>
    <t>Shatter Rebar</t>
  </si>
  <si>
    <t>Stun Rebar</t>
  </si>
  <si>
    <t>Explosive Rebar</t>
  </si>
  <si>
    <t>Packaged Turbo Fuel</t>
  </si>
  <si>
    <t>Packaged Fuel</t>
  </si>
  <si>
    <t xml:space="preserve">Keldon Armory </t>
  </si>
  <si>
    <t>Urabrask's Refinery</t>
  </si>
  <si>
    <t>0 MW</t>
  </si>
  <si>
    <t>5800 MWh</t>
  </si>
  <si>
    <t>1.33 Hours</t>
  </si>
  <si>
    <t>Riveteers District Miner</t>
  </si>
  <si>
    <t>805.9 MW</t>
  </si>
  <si>
    <t>-805.9 MW</t>
  </si>
  <si>
    <t>16.25 Hours</t>
  </si>
  <si>
    <t>Obelisk of Alara</t>
  </si>
  <si>
    <t>1390.1 MW</t>
  </si>
  <si>
    <t>-1390.1 MW</t>
  </si>
  <si>
    <t>Miner (Jund Pyroclast)</t>
  </si>
  <si>
    <t>Obelisks of Alara</t>
  </si>
  <si>
    <t>Line</t>
  </si>
  <si>
    <t>Oran Rief Mines</t>
  </si>
  <si>
    <t>45.8 GWh</t>
  </si>
  <si>
    <t>Iron ore</t>
  </si>
  <si>
    <t>Quartz Crystal</t>
  </si>
  <si>
    <t>Steel Ingot</t>
  </si>
  <si>
    <t xml:space="preserve">Thran Foundry </t>
  </si>
  <si>
    <t>Caterium Ingot</t>
  </si>
  <si>
    <t>Aluminum Ingot</t>
  </si>
  <si>
    <t>Riveteers District, Ketria Crystals, Thran Foundry, Oran-Rief Mines, Urabrask's Refinery</t>
  </si>
  <si>
    <t>Heat Sink</t>
  </si>
  <si>
    <t>Smart Plating</t>
  </si>
  <si>
    <t>Fused Modular Frame</t>
  </si>
  <si>
    <t>Turbo Motor</t>
  </si>
  <si>
    <t>Cooling System</t>
  </si>
  <si>
    <t>Thermal Propulsion Rocket</t>
  </si>
  <si>
    <t>Karn's Conduit</t>
  </si>
  <si>
    <t>Obelisks of Alara, Keldon Armory, Riveteers District, Phyrexian Datavault, Thran Foundry , Darksteel Forge</t>
  </si>
  <si>
    <t>738.9 MW</t>
  </si>
  <si>
    <t>-738.9 MW</t>
  </si>
  <si>
    <t>3.78 Hours</t>
  </si>
  <si>
    <t>Mk3 Miner</t>
  </si>
  <si>
    <t>Obelisks Of Alara Miner</t>
  </si>
  <si>
    <t>Supercomputer</t>
  </si>
  <si>
    <t>Versatile Framework</t>
  </si>
  <si>
    <t>Automated Wiring</t>
  </si>
  <si>
    <t>Assembly Director System</t>
  </si>
  <si>
    <t>Electromagnetic Control Rods</t>
  </si>
  <si>
    <t>Magnetic Field Generator</t>
  </si>
  <si>
    <t>Thassa's Pulse</t>
  </si>
  <si>
    <t>Jund Pyroclast Well</t>
  </si>
  <si>
    <t>Riveteers District, Phyrexian Datavault, Urabrask's Refinery, Thran Foundry, Jund Pyroclast</t>
  </si>
  <si>
    <t>Thran Foundru</t>
  </si>
  <si>
    <t>Copper Powder</t>
  </si>
  <si>
    <t>Pressure Conversion Cube</t>
  </si>
  <si>
    <t>Nuclear Pasta</t>
  </si>
  <si>
    <t>Power Consumption Stable</t>
  </si>
  <si>
    <t>Storage Stable</t>
  </si>
  <si>
    <t>Cut-Time Stable</t>
  </si>
  <si>
    <t>Power Consumption Unstable</t>
  </si>
  <si>
    <t>Storage Unstable</t>
  </si>
  <si>
    <t>Cut-Time Unstable</t>
  </si>
  <si>
    <t>1600 MWh</t>
  </si>
  <si>
    <t>702.15 MW</t>
  </si>
  <si>
    <t>2000 MWh</t>
  </si>
  <si>
    <t xml:space="preserve">2.84 Hours </t>
  </si>
  <si>
    <t>Jund Pytoclast</t>
  </si>
  <si>
    <t xml:space="preserve">Riveteers District, Darksteel Forge, Oran-Rief Mines </t>
  </si>
  <si>
    <t>Gas Filter</t>
  </si>
  <si>
    <t>Iodine-Infused Filter</t>
  </si>
  <si>
    <t>3000 MWh</t>
  </si>
  <si>
    <t>Tollarian Meltdown</t>
  </si>
  <si>
    <t>Tollarian Meltown</t>
  </si>
  <si>
    <t>Notes</t>
  </si>
  <si>
    <t>Top Container</t>
  </si>
  <si>
    <t>Coming from Top Container</t>
  </si>
  <si>
    <t>Neko's Nexus, Ghirapur Gridworks, Phyrexian Datavault, Riveteers District, The Abyssal Chains of Shandalar, Keldon Armory, Tollarian Meltdown</t>
  </si>
  <si>
    <t xml:space="preserve">Copper Ore </t>
  </si>
  <si>
    <t>Thassa's Pulse Miner</t>
  </si>
  <si>
    <t>Rest Belt has an extra 99.690888889</t>
  </si>
  <si>
    <t>Kaladesh Refinery, Riveteers District, Oran-Rief Mines, Xantcha's Crucible, Ketria Crystals, Darksteel Forge, Tollarian Meltdown</t>
  </si>
  <si>
    <t>Middle belt going to Tollarian Meltdown has an extra 151.659 Iron Ingots</t>
  </si>
  <si>
    <t>Water Distribution</t>
  </si>
  <si>
    <t>Pipe 1</t>
  </si>
  <si>
    <t>Pipe 2</t>
  </si>
  <si>
    <t>Sulfuric Acid</t>
  </si>
  <si>
    <t>Water Packager</t>
  </si>
  <si>
    <t>Copper Sheets</t>
  </si>
  <si>
    <t>Total</t>
  </si>
  <si>
    <t>Percentage</t>
  </si>
  <si>
    <t>Pipe 3</t>
  </si>
  <si>
    <t>Nitric Acid</t>
  </si>
  <si>
    <t>Bottom Container</t>
  </si>
  <si>
    <t>Steel Distribution</t>
  </si>
  <si>
    <t>Steel Pipes for Stators</t>
  </si>
  <si>
    <t>Steel Pipes for Encased Industrial Beams and HMF</t>
  </si>
  <si>
    <t>Steel Pipes for Modular Frames</t>
  </si>
  <si>
    <t>Super Total</t>
  </si>
  <si>
    <t>Coming From Bot Container</t>
  </si>
  <si>
    <t>Bottom Container has an extra 78.14267</t>
  </si>
  <si>
    <t>Suflur</t>
  </si>
  <si>
    <t>Jund Pyroclast &amp; Urabrask Refinery Miner</t>
  </si>
  <si>
    <t>Riveteers District , Keldon Armory, Kaladesh Refinery, Ketria Crystals, Thran Foundry, Xantcha's Crucible, Darksteel Forge, Thassa's Pulse, Keldon Armory, Phyrexian Datavault, Jund Pyroclast</t>
  </si>
  <si>
    <t>Machine</t>
  </si>
  <si>
    <t>Consumption</t>
  </si>
  <si>
    <t>Zone</t>
  </si>
  <si>
    <t>Destiny</t>
  </si>
  <si>
    <t>Water Extraction</t>
  </si>
  <si>
    <t>Refineries</t>
  </si>
  <si>
    <t>Assemblers</t>
  </si>
  <si>
    <t>Zone A East</t>
  </si>
  <si>
    <t>Everywhere</t>
  </si>
  <si>
    <t>Manufacturers</t>
  </si>
  <si>
    <t>Smelter</t>
  </si>
  <si>
    <t>Making</t>
  </si>
  <si>
    <t>Alclad Casing</t>
  </si>
  <si>
    <t>Ai Limiter</t>
  </si>
  <si>
    <t>AI Limiter</t>
  </si>
  <si>
    <t>Crystal Oscillator</t>
  </si>
  <si>
    <t>Nuke Nobelisk</t>
  </si>
  <si>
    <t>Casing and Copper Sheets</t>
  </si>
  <si>
    <t>Zone A Middle</t>
  </si>
  <si>
    <t>Constructor</t>
  </si>
  <si>
    <t>Steel Pipe</t>
  </si>
  <si>
    <t>Crystal oscillator</t>
  </si>
  <si>
    <t>Uranium Fuel Rods</t>
  </si>
  <si>
    <t>Foundries</t>
  </si>
  <si>
    <t>Constructors</t>
  </si>
  <si>
    <t>Refinery</t>
  </si>
  <si>
    <t>Packaging</t>
  </si>
  <si>
    <t>Packagers</t>
  </si>
  <si>
    <t>Packager</t>
  </si>
  <si>
    <t>Packaged Sulfuric Acid</t>
  </si>
  <si>
    <t>Output</t>
  </si>
  <si>
    <t>Packaged Water</t>
  </si>
  <si>
    <t>Caterium Wire</t>
  </si>
  <si>
    <t>Crystal Oscillator and Electromagnetic Control Rods</t>
  </si>
  <si>
    <t>Oil Segment</t>
  </si>
  <si>
    <t>Petroleum Coke</t>
  </si>
  <si>
    <t>Diamonds</t>
  </si>
  <si>
    <t>192.1/576.4</t>
  </si>
  <si>
    <t>Output and Time Crystals</t>
  </si>
  <si>
    <t>Particle Accelerator</t>
  </si>
  <si>
    <t>Converter</t>
  </si>
  <si>
    <t>94.8/379.1</t>
  </si>
  <si>
    <t>Time Crystals</t>
  </si>
  <si>
    <t>Zone B</t>
  </si>
  <si>
    <t>Reinfornced Iron Plates</t>
  </si>
  <si>
    <t>Iron Plates</t>
  </si>
  <si>
    <t>Foundry</t>
  </si>
  <si>
    <t>Heavy modular Frames and encased industrial beams</t>
  </si>
  <si>
    <t>Heavy Modular Frames</t>
  </si>
  <si>
    <t>Encased Industrial Beams and Heavy  Modular Frames</t>
  </si>
  <si>
    <t>Encased Industrial Beam</t>
  </si>
  <si>
    <t>Fused Modular Frames</t>
  </si>
  <si>
    <t>Blenders</t>
  </si>
  <si>
    <t>Zone B Close to Power Plant</t>
  </si>
  <si>
    <t>Plutonium Fuel Rod</t>
  </si>
  <si>
    <t>Packaging and  non fissile Uranium</t>
  </si>
  <si>
    <t>Packaged Nitrogen Gas</t>
  </si>
  <si>
    <t>Packaged Nitric Acid</t>
  </si>
  <si>
    <t>Empty fluid Tank</t>
  </si>
  <si>
    <t>Encased Uranium Cell</t>
  </si>
  <si>
    <t>Northern Sector</t>
  </si>
  <si>
    <t>Encased Uranium Cell and Non-Fissile Uranium</t>
  </si>
  <si>
    <t>Outer Region</t>
  </si>
  <si>
    <t>Power Plant</t>
  </si>
  <si>
    <t>Non-Fissile Uranium</t>
  </si>
  <si>
    <t>Encased Plutonium Cell</t>
  </si>
  <si>
    <t>Uranium Fuel Rod</t>
  </si>
  <si>
    <t>Nuclear Power Plants</t>
  </si>
  <si>
    <t>Encased Uranium Cells</t>
  </si>
  <si>
    <t>193.7/581.1</t>
  </si>
  <si>
    <t>Water Farm</t>
  </si>
  <si>
    <t xml:space="preserve">Nitrogen Gas </t>
  </si>
  <si>
    <t>Power Production Stable</t>
  </si>
  <si>
    <t>Power Production Unstable</t>
  </si>
  <si>
    <t xml:space="preserve">Infinite </t>
  </si>
  <si>
    <t>Time Crystal</t>
  </si>
  <si>
    <t>Plutonium Fuel Rods</t>
  </si>
  <si>
    <t xml:space="preserve">Well Extractor </t>
  </si>
  <si>
    <t>Lights</t>
  </si>
  <si>
    <t>Oil extractor</t>
  </si>
  <si>
    <t xml:space="preserve">Packaged Rocket Fuel </t>
  </si>
  <si>
    <t>945.7 MW</t>
  </si>
  <si>
    <t>4352.7 MW</t>
  </si>
  <si>
    <t>-4352.7 MW</t>
  </si>
  <si>
    <t>2019.5 MW</t>
  </si>
  <si>
    <t>3371.9 MW</t>
  </si>
  <si>
    <t>-3371.9 MW</t>
  </si>
  <si>
    <t>1.69 Hours</t>
  </si>
  <si>
    <t>13.58 Hours</t>
  </si>
  <si>
    <t>3100 MWh</t>
  </si>
  <si>
    <t>5530.95 MW</t>
  </si>
  <si>
    <t>5600 MW</t>
  </si>
  <si>
    <t>The Mirrodin Trigon</t>
  </si>
  <si>
    <t>Train Color 1</t>
  </si>
  <si>
    <t>Train Color 2</t>
  </si>
  <si>
    <t>5A0069</t>
  </si>
  <si>
    <t>320249</t>
  </si>
  <si>
    <t>SAM</t>
  </si>
  <si>
    <t>Tollarian Meltdown Miner</t>
  </si>
  <si>
    <t>Urabrask Refinery</t>
  </si>
  <si>
    <t>Darksteel Forge, Tollarian Meltdown, Urabrask Refinery</t>
  </si>
  <si>
    <t>Reanimated SAM</t>
  </si>
  <si>
    <t>Ficsite Ingot</t>
  </si>
  <si>
    <t>SAM Fluctuator</t>
  </si>
  <si>
    <t>Ficsite Trigon</t>
  </si>
  <si>
    <t>2933.7 MW</t>
  </si>
  <si>
    <t>1.56 Hours</t>
  </si>
  <si>
    <t>4600 MWh</t>
  </si>
  <si>
    <t>3449.1 MW (Avg)</t>
  </si>
  <si>
    <t>5700 MWh</t>
  </si>
  <si>
    <t>1.65 Hours</t>
  </si>
  <si>
    <t>14379.4 MW</t>
  </si>
  <si>
    <t>Net Gain Stable</t>
  </si>
  <si>
    <t>Net Gain Unstable</t>
  </si>
  <si>
    <t>Simic Subline</t>
  </si>
  <si>
    <t>Quartz Crystal Line going to Phyrexian Datavault, Keldon Armory, Simic Subline, Tollarian Meltdown and Obelisks of Alara has an extra 206.3723</t>
  </si>
  <si>
    <t>Ghirapur Gridworks,Phyrexian Datavault, Keldon Armory, Obelisks of Alara, Simic Subline</t>
  </si>
  <si>
    <t>Neko's Nexus, Ghirapur Gridworks, Phyrexian Datavault, Keldon Armory , Obelisks of Alara, Karn's Conduit, Jund Pyroclast, Simic Subline</t>
  </si>
  <si>
    <t>Neko's Nexus, Obelisk of Alara, Karn's Conduit, Thassa's Pulse, Tollarian Meltdown, Simic Subline</t>
  </si>
  <si>
    <t>Top Container has an extra 34.15185</t>
  </si>
  <si>
    <t>Comments</t>
  </si>
  <si>
    <t>Thran Foundy, Neko's Nexus, Ghirapur Gridworks, The Abyssal Chains of Shandalar, Keldon Armory, Karn's Conduit, Jund Pyroclast, Tollarian Meltdown, The Mirrodin Trigon, Simic Subline</t>
  </si>
  <si>
    <t>Bottom Belt</t>
  </si>
  <si>
    <t>Bottom belt going to Keldon Armory, Simic Subline, Karn's Conduit, The Mirrodin Trigon And Jund PYroclast has an extra 195.6402 Iron Ingots</t>
  </si>
  <si>
    <t>Oran-Rief Mines, Ketria Crystals, Kaladesh Refinery, Riveteers District, Thran Foundry, Darksteel Forge, Phyrexian Datavault</t>
  </si>
  <si>
    <t>Miner mk3</t>
  </si>
  <si>
    <t>Biochemical Sculptor</t>
  </si>
  <si>
    <t>1047.7 MW</t>
  </si>
  <si>
    <t>2300 MWh</t>
  </si>
  <si>
    <t>-1047.7 MW</t>
  </si>
  <si>
    <t>2.195 Hours</t>
  </si>
  <si>
    <t>Ydris’ Nexus</t>
  </si>
  <si>
    <t>Rest belt going to Ydris Nexus has an extra 130.0612553</t>
  </si>
  <si>
    <t>Urabrask Refinery, Darksteel Forge</t>
  </si>
  <si>
    <t>86953.125</t>
  </si>
  <si>
    <t>72573.725</t>
  </si>
  <si>
    <t>52171.875</t>
  </si>
  <si>
    <t>46640.925</t>
  </si>
  <si>
    <t>Number</t>
  </si>
  <si>
    <t>Unstable Consumption</t>
  </si>
  <si>
    <t>Diamonds at 100%</t>
  </si>
  <si>
    <t>Diamonds at 75%</t>
  </si>
  <si>
    <t>Quantum Encoder</t>
  </si>
  <si>
    <t>Superposition Oscillator</t>
  </si>
  <si>
    <t>Converters for Superposition Oscillator</t>
  </si>
  <si>
    <t>Converter for Power Shards</t>
  </si>
  <si>
    <t>Power Shards</t>
  </si>
  <si>
    <t>Dark matter Crystal from Power Shards</t>
  </si>
  <si>
    <t>Alien Power Matrixes</t>
  </si>
  <si>
    <t>Converters for Alien Power Matrixes</t>
  </si>
  <si>
    <t>Dark Matter Crystals from Alien Power Matrixes</t>
  </si>
  <si>
    <t>Sink</t>
  </si>
  <si>
    <t>Cut-off Time Stable</t>
  </si>
  <si>
    <t>Cut-off Time Unstable</t>
  </si>
  <si>
    <t>36259.6 MW</t>
  </si>
  <si>
    <t>Dark Matter Crystal from Superposition Oscillator</t>
  </si>
  <si>
    <t>Reanimated Sam</t>
  </si>
  <si>
    <t>Dark Matter Crystal</t>
  </si>
  <si>
    <t>Alien Power Matrix</t>
  </si>
  <si>
    <t>Aetherflux Reactor</t>
  </si>
  <si>
    <t>Net gain Stable</t>
  </si>
  <si>
    <t>Net gain Unstable</t>
  </si>
  <si>
    <t>Ficsonium Power plants</t>
  </si>
  <si>
    <t>Plutonium Power Plants</t>
  </si>
  <si>
    <t>Ficsonium Fuel Rods</t>
  </si>
  <si>
    <t>Silica/Quartz Module</t>
  </si>
  <si>
    <t>Ficsite Trigons</t>
  </si>
  <si>
    <t>Obelisks of Alara, Thassa's Pulse, Tollarian Meltdown, Aetherflux Reactor, Ydris’ Nexus</t>
  </si>
  <si>
    <t>Simic Subline, Aetherflux Reactor</t>
  </si>
  <si>
    <t xml:space="preserve">Ficsonium Fuel Rods </t>
  </si>
  <si>
    <t>2 Modules</t>
  </si>
  <si>
    <t>Plastic Line going to Phyrexian Datavault has an extra 33.333</t>
  </si>
  <si>
    <t>Ydris Nexus</t>
  </si>
  <si>
    <t>Ingots Module</t>
  </si>
  <si>
    <t>Packaged Alumina Solution</t>
  </si>
  <si>
    <t>Battery</t>
  </si>
  <si>
    <t>1760.5 MW</t>
  </si>
  <si>
    <t>-1760.5</t>
  </si>
  <si>
    <t>7300 MWh</t>
  </si>
  <si>
    <t>4.14 Hours</t>
  </si>
  <si>
    <t>Fused Modular Frame Module</t>
  </si>
  <si>
    <t>Nitrogen Well</t>
  </si>
  <si>
    <t>Pressure Conversion Cubes Module</t>
  </si>
  <si>
    <t>Kaladesh Refinery, Xantcha's Crucible, Oran-Rief Mines, Ketria Crystals, Riveteers District, Aetherflux Reactor</t>
  </si>
  <si>
    <t>Alclad Aluminum Sheets</t>
  </si>
  <si>
    <t>Singularity Cells</t>
  </si>
  <si>
    <t>Dark Matter Crystals</t>
  </si>
  <si>
    <t>Ydris' Nexus</t>
  </si>
  <si>
    <t>Packaged Oil</t>
  </si>
  <si>
    <t>Totals</t>
  </si>
  <si>
    <t>Raw Quarts</t>
  </si>
  <si>
    <t>MIners</t>
  </si>
  <si>
    <t>Singularity Cells Module</t>
  </si>
  <si>
    <t>Tollarian Metldown, Jund Pyroclast, Urabrask Refinery, Kaladesh Refinery, Riveteers District, Phyrexian Datavault, Ydri's Nexus, The Mirrodin Trigon</t>
  </si>
  <si>
    <t>10.6 GW/h</t>
  </si>
  <si>
    <t>10.4 GW/h</t>
  </si>
  <si>
    <t>Location</t>
  </si>
  <si>
    <t>Description</t>
  </si>
  <si>
    <t>Unstable Consumptions</t>
  </si>
  <si>
    <t>Dark Matter Residue for Ficsonium</t>
  </si>
  <si>
    <t>Total Consumption</t>
  </si>
  <si>
    <t>Ficsonium</t>
  </si>
  <si>
    <t>Excited Photonic Matter for Ficsonium Fuel Rods</t>
  </si>
  <si>
    <t>Trigon Module</t>
  </si>
  <si>
    <t>Dark Matter Residue</t>
  </si>
  <si>
    <t>19,329.2 MW</t>
  </si>
  <si>
    <t>90,625.514 MW</t>
  </si>
  <si>
    <t>71,296.31 MW</t>
  </si>
  <si>
    <t>31,929.55 MW.</t>
  </si>
  <si>
    <t>58,695.96 MW</t>
  </si>
  <si>
    <t>7596.7 MW</t>
  </si>
  <si>
    <t>Unknown</t>
  </si>
  <si>
    <t>Coal to Diamonds</t>
  </si>
  <si>
    <t>Converters</t>
  </si>
  <si>
    <t>Diamonds To Time Crystals</t>
  </si>
  <si>
    <t>Reanimated Sam to Dark Matter Residue</t>
  </si>
  <si>
    <t>Ionized Fuel</t>
  </si>
  <si>
    <t>40,623.3 MW</t>
  </si>
  <si>
    <t>1800 MW/h</t>
  </si>
  <si>
    <t>6,242.8 MW</t>
  </si>
  <si>
    <t>8,635.6 MW</t>
  </si>
  <si>
    <t>3800 MW/h</t>
  </si>
  <si>
    <t>The Fourfold Furnace</t>
  </si>
  <si>
    <t>Oil Extractors</t>
  </si>
  <si>
    <t>The Fourfold Furnace, Aetherflux Reactor</t>
  </si>
  <si>
    <t>Ydris' Nexus, Aetherflux Reactor</t>
  </si>
  <si>
    <t>Packaged Ionized Fuel</t>
  </si>
  <si>
    <t>34380.5 MW</t>
  </si>
  <si>
    <t>7803.3 mw</t>
  </si>
  <si>
    <t>832.3 MW</t>
  </si>
  <si>
    <t>Producing</t>
  </si>
  <si>
    <t>The Interplanar Beacon</t>
  </si>
  <si>
    <t>Module</t>
  </si>
  <si>
    <t>Time Crystals Module</t>
  </si>
  <si>
    <t>4 Different Places</t>
  </si>
  <si>
    <t>Motors and Rotors Module</t>
  </si>
  <si>
    <t>Smart Plating Module</t>
  </si>
  <si>
    <t xml:space="preserve">Iron Ore </t>
  </si>
  <si>
    <t>Heavy Modular Frame Module</t>
  </si>
  <si>
    <t>Magnetic Field Generator &amp; ECR Module</t>
  </si>
  <si>
    <t>Several Modules</t>
  </si>
  <si>
    <t>Phyrexian Datavault, The Abyssal Chains of Shandalar, Keldon Armory, Obelisks of Alara, Tollarian Meltdown, Simic Subline, Aetherflux Reactor, The Interplanar Beacon</t>
  </si>
  <si>
    <t>Nitrogen</t>
  </si>
  <si>
    <t>Thermal Propulsion Rocket Module</t>
  </si>
  <si>
    <t>Heat Sinks &amp; Casings Module</t>
  </si>
  <si>
    <t>The Fourfold Furnace, The Interplanar Beacon</t>
  </si>
  <si>
    <t>Radio Control Units Module</t>
  </si>
  <si>
    <t>Phyrexian Datavault, Keldon Armory, Jund Pyroclast, Urabrask's Refinery, Obelisks of Alara, Karn's Conduit, Tollarian Meltdown. Aetherflux Reactor, The Interplanar Beacon</t>
  </si>
  <si>
    <t>Karn's Conduit, Tollarian Meltdown, The Interplanar Beacon</t>
  </si>
  <si>
    <t>Final Stage</t>
  </si>
  <si>
    <t>The Fourfold Furnace, Tollarian Meltdown, Kaladesh Refinery, Aetherflux Reactor, Riveteers District, Keldon Armory, Phyrexian Datavault</t>
  </si>
  <si>
    <t>Karn's Conduit, Thassa's Pulse, Simic Subline, The Interplanar Beacon, Aetherflux Reactor</t>
  </si>
  <si>
    <t>5.4 going directly to Dimensional Depot</t>
  </si>
  <si>
    <t>Excited Photonic Matter</t>
  </si>
  <si>
    <t>Neural Quantum Processors</t>
  </si>
  <si>
    <t>AI Expansion Server</t>
  </si>
  <si>
    <t>Space Elevator</t>
  </si>
  <si>
    <t>2 Different Places</t>
  </si>
  <si>
    <t>Neural Quantum Processor</t>
  </si>
  <si>
    <t>Producing 20 without time Crystals</t>
  </si>
  <si>
    <t>Producing 35 with time Crystals</t>
  </si>
  <si>
    <t>Producing 31.533 with time Crystals</t>
  </si>
  <si>
    <t>Producing 13.733 without time Crystals</t>
  </si>
  <si>
    <t>5858 MW</t>
  </si>
  <si>
    <t>7900 MWh</t>
  </si>
  <si>
    <t>Cut-off Unstable</t>
  </si>
  <si>
    <t>Cut-off Stable</t>
  </si>
  <si>
    <t>1.34 Hours</t>
  </si>
  <si>
    <t>18779.75 MW</t>
  </si>
  <si>
    <t>Ballistic Warp Drives</t>
  </si>
  <si>
    <t>19700 MWh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</si>
</sst>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53">
    <xf numFmtId="0" fontId="0" fillId="0" borderId="0" xfId="0"/>
    <xf numFmtId="0" fontId="0" fillId="0" borderId="0" xfId="0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8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0" fillId="0" borderId="2" xfId="0" applyBorder="1"/>
    <xf numFmtId="0" fontId="1" fillId="0" borderId="15" xfId="0" applyFont="1" applyBorder="1"/>
    <xf numFmtId="0" fontId="1" fillId="0" borderId="12" xfId="0" applyFont="1" applyBorder="1"/>
    <xf numFmtId="0" fontId="1" fillId="0" borderId="13" xfId="0" applyFont="1" applyBorder="1"/>
    <xf numFmtId="49" fontId="0" fillId="0" borderId="0" xfId="0" applyNumberFormat="1"/>
    <xf numFmtId="49" fontId="0" fillId="0" borderId="2" xfId="0" applyNumberFormat="1" applyBorder="1"/>
    <xf numFmtId="49" fontId="0" fillId="0" borderId="3" xfId="0" applyNumberFormat="1" applyBorder="1"/>
    <xf numFmtId="49" fontId="0" fillId="0" borderId="4" xfId="0" applyNumberFormat="1" applyBorder="1"/>
    <xf numFmtId="0" fontId="1" fillId="0" borderId="12" xfId="0" applyFont="1" applyBorder="1" applyAlignment="1">
      <alignment horizontal="left" vertical="center"/>
    </xf>
    <xf numFmtId="49" fontId="0" fillId="0" borderId="3" xfId="0" applyNumberFormat="1" applyBorder="1" applyAlignment="1">
      <alignment vertical="top" wrapText="1"/>
    </xf>
    <xf numFmtId="0" fontId="1" fillId="0" borderId="12" xfId="0" applyFont="1" applyBorder="1" applyAlignment="1">
      <alignment vertical="center"/>
    </xf>
    <xf numFmtId="49" fontId="0" fillId="0" borderId="3" xfId="0" applyNumberFormat="1" applyBorder="1" applyAlignment="1">
      <alignment horizontal="center" vertical="center" wrapText="1"/>
    </xf>
    <xf numFmtId="49" fontId="0" fillId="0" borderId="3" xfId="0" applyNumberFormat="1" applyBorder="1" applyAlignment="1">
      <alignment vertical="center" wrapText="1"/>
    </xf>
    <xf numFmtId="0" fontId="1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49" fontId="0" fillId="0" borderId="3" xfId="0" applyNumberFormat="1" applyBorder="1" applyAlignment="1">
      <alignment wrapText="1"/>
    </xf>
    <xf numFmtId="0" fontId="0" fillId="0" borderId="7" xfId="0" applyBorder="1" applyAlignment="1">
      <alignment horizontal="center"/>
    </xf>
    <xf numFmtId="0" fontId="0" fillId="0" borderId="23" xfId="0" applyBorder="1"/>
    <xf numFmtId="0" fontId="0" fillId="0" borderId="22" xfId="0" applyBorder="1"/>
    <xf numFmtId="0" fontId="0" fillId="0" borderId="21" xfId="0" applyBorder="1"/>
    <xf numFmtId="0" fontId="0" fillId="0" borderId="24" xfId="0" applyBorder="1"/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49" fontId="0" fillId="0" borderId="3" xfId="0" applyNumberFormat="1" applyBorder="1" applyAlignment="1">
      <alignment horizontal="left" vertical="top" wrapText="1"/>
    </xf>
    <xf numFmtId="0" fontId="0" fillId="0" borderId="15" xfId="0" applyBorder="1"/>
    <xf numFmtId="0" fontId="1" fillId="0" borderId="10" xfId="0" applyFont="1" applyBorder="1" applyAlignment="1">
      <alignment horizontal="center"/>
    </xf>
    <xf numFmtId="0" fontId="0" fillId="0" borderId="12" xfId="0" applyBorder="1" applyAlignment="1">
      <alignment horizontal="left"/>
    </xf>
    <xf numFmtId="0" fontId="1" fillId="0" borderId="3" xfId="0" applyFont="1" applyBorder="1" applyAlignment="1">
      <alignment horizontal="left" vertical="center"/>
    </xf>
    <xf numFmtId="0" fontId="0" fillId="0" borderId="22" xfId="0" applyBorder="1" applyAlignment="1">
      <alignment wrapText="1"/>
    </xf>
    <xf numFmtId="0" fontId="1" fillId="0" borderId="10" xfId="0" applyFont="1" applyBorder="1"/>
    <xf numFmtId="0" fontId="1" fillId="0" borderId="1" xfId="0" applyFont="1" applyBorder="1"/>
    <xf numFmtId="0" fontId="1" fillId="0" borderId="14" xfId="0" applyFont="1" applyBorder="1"/>
    <xf numFmtId="0" fontId="1" fillId="0" borderId="18" xfId="0" applyFont="1" applyBorder="1"/>
    <xf numFmtId="0" fontId="1" fillId="0" borderId="20" xfId="0" applyFont="1" applyBorder="1"/>
    <xf numFmtId="49" fontId="0" fillId="0" borderId="3" xfId="0" applyNumberFormat="1" applyBorder="1" applyAlignment="1">
      <alignment horizontal="left" vertical="center" wrapText="1"/>
    </xf>
    <xf numFmtId="2" fontId="0" fillId="0" borderId="0" xfId="0" applyNumberFormat="1"/>
    <xf numFmtId="49" fontId="0" fillId="0" borderId="23" xfId="0" applyNumberFormat="1" applyBorder="1"/>
    <xf numFmtId="49" fontId="0" fillId="0" borderId="22" xfId="0" applyNumberFormat="1" applyBorder="1" applyAlignment="1">
      <alignment vertical="center" wrapText="1"/>
    </xf>
    <xf numFmtId="49" fontId="0" fillId="0" borderId="22" xfId="0" applyNumberFormat="1" applyBorder="1"/>
    <xf numFmtId="49" fontId="0" fillId="0" borderId="24" xfId="0" applyNumberFormat="1" applyBorder="1"/>
    <xf numFmtId="49" fontId="0" fillId="0" borderId="22" xfId="0" applyNumberFormat="1" applyBorder="1" applyAlignment="1">
      <alignment wrapText="1"/>
    </xf>
    <xf numFmtId="0" fontId="1" fillId="0" borderId="3" xfId="0" applyFont="1" applyBorder="1" applyAlignment="1">
      <alignment vertical="center"/>
    </xf>
    <xf numFmtId="0" fontId="0" fillId="0" borderId="7" xfId="0" applyBorder="1" applyAlignment="1">
      <alignment horizontal="left"/>
    </xf>
    <xf numFmtId="10" fontId="0" fillId="0" borderId="4" xfId="0" applyNumberFormat="1" applyBorder="1"/>
    <xf numFmtId="0" fontId="0" fillId="0" borderId="35" xfId="0" applyBorder="1"/>
    <xf numFmtId="164" fontId="0" fillId="0" borderId="2" xfId="0" applyNumberFormat="1" applyBorder="1"/>
    <xf numFmtId="0" fontId="0" fillId="0" borderId="35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8" xfId="0" applyBorder="1"/>
    <xf numFmtId="0" fontId="1" fillId="0" borderId="34" xfId="0" applyFont="1" applyBorder="1"/>
    <xf numFmtId="0" fontId="1" fillId="0" borderId="40" xfId="0" applyFont="1" applyBorder="1"/>
    <xf numFmtId="0" fontId="1" fillId="0" borderId="36" xfId="0" applyFont="1" applyBorder="1"/>
    <xf numFmtId="0" fontId="0" fillId="0" borderId="39" xfId="0" applyBorder="1"/>
    <xf numFmtId="0" fontId="0" fillId="0" borderId="41" xfId="0" applyBorder="1"/>
    <xf numFmtId="0" fontId="0" fillId="0" borderId="42" xfId="0" applyBorder="1"/>
    <xf numFmtId="0" fontId="0" fillId="0" borderId="43" xfId="0" applyBorder="1"/>
    <xf numFmtId="0" fontId="0" fillId="0" borderId="44" xfId="0" applyBorder="1"/>
    <xf numFmtId="0" fontId="0" fillId="0" borderId="45" xfId="0" applyBorder="1"/>
    <xf numFmtId="0" fontId="0" fillId="0" borderId="46" xfId="0" applyBorder="1"/>
    <xf numFmtId="0" fontId="0" fillId="0" borderId="47" xfId="0" applyBorder="1"/>
    <xf numFmtId="0" fontId="0" fillId="0" borderId="48" xfId="0" applyBorder="1"/>
    <xf numFmtId="0" fontId="0" fillId="0" borderId="42" xfId="0" applyBorder="1" applyAlignment="1">
      <alignment horizontal="center"/>
    </xf>
    <xf numFmtId="0" fontId="0" fillId="0" borderId="39" xfId="0" applyBorder="1" applyAlignment="1">
      <alignment horizontal="center"/>
    </xf>
    <xf numFmtId="0" fontId="1" fillId="0" borderId="49" xfId="0" applyFont="1" applyBorder="1"/>
    <xf numFmtId="0" fontId="0" fillId="2" borderId="7" xfId="0" applyFill="1" applyBorder="1"/>
    <xf numFmtId="0" fontId="1" fillId="0" borderId="31" xfId="0" applyFont="1" applyBorder="1" applyAlignment="1">
      <alignment horizontal="center"/>
    </xf>
    <xf numFmtId="0" fontId="0" fillId="0" borderId="50" xfId="0" applyBorder="1"/>
    <xf numFmtId="0" fontId="1" fillId="0" borderId="25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0" fillId="0" borderId="25" xfId="0" applyBorder="1"/>
    <xf numFmtId="0" fontId="0" fillId="0" borderId="51" xfId="0" applyBorder="1"/>
    <xf numFmtId="0" fontId="0" fillId="0" borderId="8" xfId="0" applyBorder="1"/>
    <xf numFmtId="0" fontId="0" fillId="0" borderId="5" xfId="0" applyBorder="1"/>
    <xf numFmtId="0" fontId="0" fillId="0" borderId="52" xfId="0" applyBorder="1"/>
    <xf numFmtId="0" fontId="0" fillId="0" borderId="53" xfId="0" applyBorder="1"/>
    <xf numFmtId="49" fontId="0" fillId="0" borderId="35" xfId="0" applyNumberFormat="1" applyBorder="1"/>
    <xf numFmtId="0" fontId="1" fillId="0" borderId="51" xfId="0" applyFont="1" applyBorder="1"/>
    <xf numFmtId="0" fontId="1" fillId="0" borderId="55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0" fillId="0" borderId="54" xfId="0" applyBorder="1"/>
    <xf numFmtId="0" fontId="0" fillId="0" borderId="36" xfId="0" applyBorder="1"/>
    <xf numFmtId="0" fontId="1" fillId="0" borderId="40" xfId="0" applyFont="1" applyBorder="1" applyAlignment="1">
      <alignment horizontal="center"/>
    </xf>
    <xf numFmtId="0" fontId="1" fillId="0" borderId="25" xfId="0" applyFont="1" applyBorder="1"/>
    <xf numFmtId="0" fontId="0" fillId="0" borderId="15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52" xfId="0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19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4" xfId="0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1" fillId="0" borderId="34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" fillId="0" borderId="33" xfId="0" applyFont="1" applyBorder="1" applyAlignment="1">
      <alignment horizontal="center"/>
    </xf>
    <xf numFmtId="0" fontId="1" fillId="0" borderId="38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40" xfId="0" applyFont="1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58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2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EAD1A-BE12-4BD3-A45F-18807DFF108B}">
  <dimension ref="B2:V134"/>
  <sheetViews>
    <sheetView tabSelected="1" topLeftCell="D23" zoomScale="115" zoomScaleNormal="115" workbookViewId="0">
      <selection activeCell="I47" sqref="I47"/>
    </sheetView>
  </sheetViews>
  <sheetFormatPr defaultColWidth="8.90625" defaultRowHeight="14.5" x14ac:dyDescent="0.35"/>
  <cols>
    <col min="3" max="3" width="23.7265625" bestFit="1" customWidth="1"/>
    <col min="4" max="4" width="10.90625" style="1" customWidth="1"/>
    <col min="5" max="5" width="19.26953125" bestFit="1" customWidth="1"/>
    <col min="8" max="8" width="23.7265625" bestFit="1" customWidth="1"/>
    <col min="9" max="9" width="7.81640625" style="1" bestFit="1" customWidth="1"/>
    <col min="10" max="10" width="27" bestFit="1" customWidth="1"/>
    <col min="15" max="15" width="16.26953125" customWidth="1"/>
    <col min="16" max="16" width="14.08984375" customWidth="1"/>
  </cols>
  <sheetData>
    <row r="2" spans="2:10" x14ac:dyDescent="0.35">
      <c r="B2" s="1"/>
    </row>
    <row r="3" spans="2:10" ht="15" thickBot="1" x14ac:dyDescent="0.4"/>
    <row r="4" spans="2:10" ht="15" thickBot="1" x14ac:dyDescent="0.4">
      <c r="C4" s="111" t="s">
        <v>7</v>
      </c>
      <c r="D4" s="112"/>
      <c r="E4" s="113"/>
      <c r="F4" s="13"/>
      <c r="G4" s="13"/>
      <c r="H4" s="111" t="s">
        <v>8</v>
      </c>
      <c r="I4" s="112"/>
      <c r="J4" s="113"/>
    </row>
    <row r="5" spans="2:10" ht="15" thickBot="1" x14ac:dyDescent="0.4">
      <c r="C5" s="35" t="s">
        <v>0</v>
      </c>
      <c r="D5" s="34" t="s">
        <v>1</v>
      </c>
      <c r="E5" s="36" t="s">
        <v>2</v>
      </c>
      <c r="F5" s="15"/>
      <c r="G5" s="15"/>
      <c r="H5" s="35" t="s">
        <v>0</v>
      </c>
      <c r="I5" s="34" t="s">
        <v>1</v>
      </c>
      <c r="J5" s="36" t="s">
        <v>2</v>
      </c>
    </row>
    <row r="6" spans="2:10" x14ac:dyDescent="0.35">
      <c r="C6" s="46" t="s">
        <v>141</v>
      </c>
      <c r="D6" s="43">
        <f>'Riveteers District'!K13</f>
        <v>26.3333333333333</v>
      </c>
      <c r="E6" s="39" t="s">
        <v>130</v>
      </c>
      <c r="H6" s="46" t="s">
        <v>5</v>
      </c>
      <c r="I6" s="43">
        <v>15</v>
      </c>
      <c r="J6" s="39" t="s">
        <v>4</v>
      </c>
    </row>
    <row r="7" spans="2:10" x14ac:dyDescent="0.35">
      <c r="C7" s="6" t="s">
        <v>43</v>
      </c>
      <c r="D7" s="11">
        <v>99.690888880000003</v>
      </c>
      <c r="E7" s="40" t="s">
        <v>44</v>
      </c>
      <c r="H7" s="6" t="s">
        <v>6</v>
      </c>
      <c r="I7" s="11">
        <v>5</v>
      </c>
      <c r="J7" s="40" t="s">
        <v>4</v>
      </c>
    </row>
    <row r="8" spans="2:10" x14ac:dyDescent="0.35">
      <c r="C8" s="6" t="s">
        <v>41</v>
      </c>
      <c r="D8" s="11">
        <f>'Darksteel Forge'!L15</f>
        <v>130.06125533999602</v>
      </c>
      <c r="E8" s="40" t="s">
        <v>42</v>
      </c>
      <c r="H8" s="6" t="s">
        <v>63</v>
      </c>
      <c r="I8" s="11">
        <v>1.4065000000000001</v>
      </c>
      <c r="J8" s="40" t="s">
        <v>81</v>
      </c>
    </row>
    <row r="9" spans="2:10" x14ac:dyDescent="0.35">
      <c r="C9" s="6" t="s">
        <v>5</v>
      </c>
      <c r="D9" s="11">
        <v>58.332999999999998</v>
      </c>
      <c r="E9" s="40" t="s">
        <v>4</v>
      </c>
      <c r="H9" s="6" t="s">
        <v>64</v>
      </c>
      <c r="I9" s="11">
        <v>2.25</v>
      </c>
      <c r="J9" s="40" t="s">
        <v>81</v>
      </c>
    </row>
    <row r="10" spans="2:10" x14ac:dyDescent="0.35">
      <c r="C10" s="6" t="s">
        <v>5</v>
      </c>
      <c r="D10" s="11">
        <f>'Kaladesh Refinery'!K14</f>
        <v>30.833333333333336</v>
      </c>
      <c r="E10" s="40" t="s">
        <v>106</v>
      </c>
      <c r="H10" s="6" t="s">
        <v>65</v>
      </c>
      <c r="I10" s="11">
        <v>2.5</v>
      </c>
      <c r="J10" s="40" t="s">
        <v>81</v>
      </c>
    </row>
    <row r="11" spans="2:10" x14ac:dyDescent="0.35">
      <c r="C11" s="6" t="s">
        <v>5</v>
      </c>
      <c r="D11" s="11">
        <v>29.17</v>
      </c>
      <c r="E11" s="40" t="s">
        <v>158</v>
      </c>
      <c r="H11" s="6" t="s">
        <v>66</v>
      </c>
      <c r="I11" s="11">
        <v>45</v>
      </c>
      <c r="J11" s="40" t="s">
        <v>81</v>
      </c>
    </row>
    <row r="12" spans="2:10" x14ac:dyDescent="0.35">
      <c r="C12" s="6" t="s">
        <v>5</v>
      </c>
      <c r="D12" s="11">
        <f>'Keldon Armory'!L29</f>
        <v>115.62946666666664</v>
      </c>
      <c r="E12" s="40" t="s">
        <v>186</v>
      </c>
      <c r="H12" s="6" t="s">
        <v>67</v>
      </c>
      <c r="I12" s="11">
        <v>5</v>
      </c>
      <c r="J12" s="40" t="s">
        <v>81</v>
      </c>
    </row>
    <row r="13" spans="2:10" x14ac:dyDescent="0.35">
      <c r="C13" s="6" t="s">
        <v>86</v>
      </c>
      <c r="D13" s="11">
        <f>'Ketria Crystals'!K14</f>
        <v>206.3723</v>
      </c>
      <c r="E13" s="40" t="s">
        <v>85</v>
      </c>
      <c r="H13" s="6" t="s">
        <v>68</v>
      </c>
      <c r="I13" s="11">
        <v>7.3125</v>
      </c>
      <c r="J13" s="40" t="s">
        <v>81</v>
      </c>
    </row>
    <row r="14" spans="2:10" x14ac:dyDescent="0.35">
      <c r="C14" s="6" t="s">
        <v>87</v>
      </c>
      <c r="D14" s="11">
        <f>'Riveteers District'!$K$18</f>
        <v>89.898888888888862</v>
      </c>
      <c r="E14" s="40" t="s">
        <v>130</v>
      </c>
      <c r="H14" s="6" t="s">
        <v>69</v>
      </c>
      <c r="I14" s="11">
        <v>3</v>
      </c>
      <c r="J14" s="40" t="s">
        <v>81</v>
      </c>
    </row>
    <row r="15" spans="2:10" x14ac:dyDescent="0.35">
      <c r="C15" s="6" t="s">
        <v>87</v>
      </c>
      <c r="D15" s="11">
        <v>29.405555</v>
      </c>
      <c r="E15" s="40" t="s">
        <v>85</v>
      </c>
      <c r="H15" s="6" t="s">
        <v>70</v>
      </c>
      <c r="I15" s="11">
        <v>30</v>
      </c>
      <c r="J15" s="40" t="s">
        <v>81</v>
      </c>
    </row>
    <row r="16" spans="2:10" x14ac:dyDescent="0.35">
      <c r="C16" s="6" t="s">
        <v>54</v>
      </c>
      <c r="D16" s="11">
        <f>'Thran Foundry'!$K$13</f>
        <v>112.29451851851857</v>
      </c>
      <c r="E16" s="40" t="s">
        <v>55</v>
      </c>
      <c r="H16" s="6" t="s">
        <v>71</v>
      </c>
      <c r="I16" s="11">
        <v>0.5</v>
      </c>
      <c r="J16" s="40" t="s">
        <v>81</v>
      </c>
    </row>
    <row r="17" spans="3:10" x14ac:dyDescent="0.35">
      <c r="C17" s="48" t="s">
        <v>136</v>
      </c>
      <c r="D17" s="11">
        <f>'Urabrask''s Refinery'!$J$12</f>
        <v>57.411111111111097</v>
      </c>
      <c r="E17" s="40" t="s">
        <v>187</v>
      </c>
      <c r="H17" s="6" t="s">
        <v>72</v>
      </c>
      <c r="I17" s="11">
        <v>33.125</v>
      </c>
      <c r="J17" s="40" t="s">
        <v>81</v>
      </c>
    </row>
    <row r="18" spans="3:10" x14ac:dyDescent="0.35">
      <c r="C18" s="64" t="s">
        <v>87</v>
      </c>
      <c r="D18" s="38">
        <f>'Tollarian Meltdown'!L20</f>
        <v>688.2</v>
      </c>
      <c r="E18" s="41" t="s">
        <v>251</v>
      </c>
      <c r="H18" s="6" t="s">
        <v>73</v>
      </c>
      <c r="I18" s="11">
        <v>61.6875</v>
      </c>
      <c r="J18" s="40" t="s">
        <v>81</v>
      </c>
    </row>
    <row r="19" spans="3:10" x14ac:dyDescent="0.35">
      <c r="C19" s="4" t="s">
        <v>440</v>
      </c>
      <c r="D19" s="11">
        <v>2.25</v>
      </c>
      <c r="E19" s="40" t="s">
        <v>414</v>
      </c>
      <c r="H19" s="6" t="s">
        <v>74</v>
      </c>
      <c r="I19" s="11">
        <v>7.25</v>
      </c>
      <c r="J19" s="40" t="s">
        <v>81</v>
      </c>
    </row>
    <row r="20" spans="3:10" x14ac:dyDescent="0.35">
      <c r="C20" s="4" t="s">
        <v>86</v>
      </c>
      <c r="D20" s="9">
        <f>'Aetherflux Reactor'!$K$16</f>
        <v>256.18666666666667</v>
      </c>
      <c r="E20" s="4" t="s">
        <v>442</v>
      </c>
      <c r="H20" s="6" t="s">
        <v>75</v>
      </c>
      <c r="I20" s="11">
        <v>30</v>
      </c>
      <c r="J20" s="40" t="s">
        <v>81</v>
      </c>
    </row>
    <row r="21" spans="3:10" x14ac:dyDescent="0.35">
      <c r="C21" s="4" t="s">
        <v>87</v>
      </c>
      <c r="D21" s="9">
        <f>'Aetherflux Reactor'!$K$17</f>
        <v>537.22400000000005</v>
      </c>
      <c r="E21" s="4" t="s">
        <v>442</v>
      </c>
      <c r="H21" s="6" t="s">
        <v>76</v>
      </c>
      <c r="I21" s="11">
        <v>45</v>
      </c>
      <c r="J21" s="40" t="s">
        <v>81</v>
      </c>
    </row>
    <row r="22" spans="3:10" x14ac:dyDescent="0.35">
      <c r="C22" s="2" t="s">
        <v>54</v>
      </c>
      <c r="D22" s="9">
        <f>'Aetherflux Reactor'!K22</f>
        <v>435.88592592592596</v>
      </c>
      <c r="E22" s="4" t="s">
        <v>442</v>
      </c>
      <c r="H22" s="6" t="s">
        <v>77</v>
      </c>
      <c r="I22" s="11">
        <v>22.5</v>
      </c>
      <c r="J22" s="40" t="s">
        <v>81</v>
      </c>
    </row>
    <row r="23" spans="3:10" x14ac:dyDescent="0.35">
      <c r="C23" s="2" t="s">
        <v>136</v>
      </c>
      <c r="D23" s="9">
        <f>'Aetherflux Reactor'!$K$24</f>
        <v>32.927777777777806</v>
      </c>
      <c r="E23" s="4" t="s">
        <v>442</v>
      </c>
      <c r="H23" s="6" t="s">
        <v>78</v>
      </c>
      <c r="I23" s="11">
        <v>20.5</v>
      </c>
      <c r="J23" s="40" t="s">
        <v>81</v>
      </c>
    </row>
    <row r="24" spans="3:10" x14ac:dyDescent="0.35">
      <c r="C24" s="6" t="s">
        <v>163</v>
      </c>
      <c r="D24" s="11">
        <f>'Aetherflux Reactor'!$K$31</f>
        <v>1344.7666666666667</v>
      </c>
      <c r="E24" s="40" t="s">
        <v>442</v>
      </c>
      <c r="H24" s="6" t="s">
        <v>79</v>
      </c>
      <c r="I24" s="11">
        <v>15</v>
      </c>
      <c r="J24" s="40" t="s">
        <v>81</v>
      </c>
    </row>
    <row r="25" spans="3:10" x14ac:dyDescent="0.35">
      <c r="C25" s="6" t="s">
        <v>61</v>
      </c>
      <c r="D25" s="11">
        <v>194</v>
      </c>
      <c r="E25" s="40" t="s">
        <v>442</v>
      </c>
      <c r="H25" s="6" t="s">
        <v>80</v>
      </c>
      <c r="I25" s="11">
        <v>25</v>
      </c>
      <c r="J25" s="40" t="s">
        <v>81</v>
      </c>
    </row>
    <row r="26" spans="3:10" x14ac:dyDescent="0.35">
      <c r="C26" s="6" t="s">
        <v>103</v>
      </c>
      <c r="D26" s="11">
        <f>'The Fourfold Furnace'!$K$15</f>
        <v>19.812156862745098</v>
      </c>
      <c r="E26" s="40" t="s">
        <v>505</v>
      </c>
      <c r="H26" s="6" t="s">
        <v>86</v>
      </c>
      <c r="I26" s="11">
        <v>26.25</v>
      </c>
      <c r="J26" s="40" t="s">
        <v>85</v>
      </c>
    </row>
    <row r="27" spans="3:10" x14ac:dyDescent="0.35">
      <c r="C27" s="4" t="s">
        <v>439</v>
      </c>
      <c r="D27" s="9">
        <f>'The Fourfold Furnace'!K18</f>
        <v>778.18055555555554</v>
      </c>
      <c r="E27" s="4" t="s">
        <v>505</v>
      </c>
      <c r="H27" s="6" t="s">
        <v>87</v>
      </c>
      <c r="I27" s="11">
        <v>19.443999999999999</v>
      </c>
      <c r="J27" s="40" t="s">
        <v>85</v>
      </c>
    </row>
    <row r="28" spans="3:10" x14ac:dyDescent="0.35">
      <c r="C28" s="6"/>
      <c r="D28" s="11"/>
      <c r="E28" s="40"/>
      <c r="H28" s="6" t="s">
        <v>98</v>
      </c>
      <c r="I28" s="11">
        <v>1.5</v>
      </c>
      <c r="J28" s="40" t="s">
        <v>90</v>
      </c>
    </row>
    <row r="29" spans="3:10" x14ac:dyDescent="0.35">
      <c r="C29" s="6"/>
      <c r="D29" s="11"/>
      <c r="E29" s="40"/>
      <c r="H29" s="6" t="s">
        <v>99</v>
      </c>
      <c r="I29" s="11">
        <v>1.5</v>
      </c>
      <c r="J29" s="40" t="s">
        <v>90</v>
      </c>
    </row>
    <row r="30" spans="3:10" x14ac:dyDescent="0.35">
      <c r="C30" s="6"/>
      <c r="D30" s="11"/>
      <c r="E30" s="40"/>
      <c r="H30" s="6" t="s">
        <v>100</v>
      </c>
      <c r="I30" s="11">
        <v>2.25</v>
      </c>
      <c r="J30" s="40" t="s">
        <v>90</v>
      </c>
    </row>
    <row r="31" spans="3:10" x14ac:dyDescent="0.35">
      <c r="C31" s="6"/>
      <c r="D31" s="11"/>
      <c r="E31" s="40"/>
      <c r="H31" s="6" t="s">
        <v>101</v>
      </c>
      <c r="I31" s="11">
        <v>3</v>
      </c>
      <c r="J31" s="40" t="s">
        <v>90</v>
      </c>
    </row>
    <row r="32" spans="3:10" x14ac:dyDescent="0.35">
      <c r="C32" s="6"/>
      <c r="D32" s="11"/>
      <c r="E32" s="40"/>
      <c r="H32" s="6" t="s">
        <v>102</v>
      </c>
      <c r="I32" s="11">
        <v>6</v>
      </c>
      <c r="J32" s="40" t="s">
        <v>90</v>
      </c>
    </row>
    <row r="33" spans="3:17" x14ac:dyDescent="0.35">
      <c r="C33" s="6"/>
      <c r="D33" s="11"/>
      <c r="E33" s="40"/>
      <c r="H33" s="6" t="s">
        <v>103</v>
      </c>
      <c r="I33" s="11">
        <v>25</v>
      </c>
      <c r="J33" s="40" t="s">
        <v>106</v>
      </c>
    </row>
    <row r="34" spans="3:17" x14ac:dyDescent="0.35">
      <c r="C34" s="6"/>
      <c r="D34" s="11"/>
      <c r="E34" s="40"/>
      <c r="H34" s="6" t="s">
        <v>104</v>
      </c>
      <c r="I34" s="11">
        <v>20</v>
      </c>
      <c r="J34" s="40" t="s">
        <v>106</v>
      </c>
    </row>
    <row r="35" spans="3:17" x14ac:dyDescent="0.35">
      <c r="C35" s="6"/>
      <c r="D35" s="11"/>
      <c r="E35" s="40"/>
      <c r="H35" s="6" t="s">
        <v>121</v>
      </c>
      <c r="I35" s="11">
        <v>0.5</v>
      </c>
      <c r="J35" s="40" t="s">
        <v>111</v>
      </c>
    </row>
    <row r="36" spans="3:17" x14ac:dyDescent="0.35">
      <c r="C36" s="6"/>
      <c r="D36" s="11"/>
      <c r="E36" s="40"/>
      <c r="H36" s="6" t="s">
        <v>122</v>
      </c>
      <c r="I36" s="11">
        <v>0.5</v>
      </c>
      <c r="J36" s="40" t="s">
        <v>111</v>
      </c>
    </row>
    <row r="37" spans="3:17" x14ac:dyDescent="0.35">
      <c r="C37" s="6"/>
      <c r="D37" s="11"/>
      <c r="E37" s="40"/>
      <c r="H37" s="6" t="s">
        <v>134</v>
      </c>
      <c r="I37" s="11">
        <v>49.332999999999998</v>
      </c>
      <c r="J37" s="40" t="s">
        <v>130</v>
      </c>
    </row>
    <row r="38" spans="3:17" ht="15" thickBot="1" x14ac:dyDescent="0.4">
      <c r="C38" s="7"/>
      <c r="D38" s="44"/>
      <c r="E38" s="42"/>
      <c r="H38" s="6" t="s">
        <v>135</v>
      </c>
      <c r="I38" s="11">
        <v>12</v>
      </c>
      <c r="J38" s="40" t="s">
        <v>130</v>
      </c>
    </row>
    <row r="39" spans="3:17" x14ac:dyDescent="0.35">
      <c r="H39" s="6" t="s">
        <v>136</v>
      </c>
      <c r="I39" s="11">
        <v>45</v>
      </c>
      <c r="J39" s="40" t="s">
        <v>130</v>
      </c>
    </row>
    <row r="40" spans="3:17" x14ac:dyDescent="0.35">
      <c r="H40" s="6" t="s">
        <v>137</v>
      </c>
      <c r="I40" s="11">
        <f>'Riveteers District'!K16</f>
        <v>20.137500000000003</v>
      </c>
      <c r="J40" s="40" t="s">
        <v>130</v>
      </c>
      <c r="Q40" s="1"/>
    </row>
    <row r="41" spans="3:17" x14ac:dyDescent="0.35">
      <c r="H41" s="48" t="s">
        <v>151</v>
      </c>
      <c r="I41" s="11">
        <f>'Phyrexian Datavault'!J12</f>
        <v>0.5</v>
      </c>
      <c r="J41" s="40" t="s">
        <v>146</v>
      </c>
      <c r="Q41" s="1"/>
    </row>
    <row r="42" spans="3:17" x14ac:dyDescent="0.35">
      <c r="H42" s="48" t="s">
        <v>152</v>
      </c>
      <c r="I42" s="11">
        <v>1</v>
      </c>
      <c r="J42" s="40" t="s">
        <v>146</v>
      </c>
    </row>
    <row r="43" spans="3:17" x14ac:dyDescent="0.35">
      <c r="H43" s="6" t="s">
        <v>157</v>
      </c>
      <c r="I43" s="11">
        <v>5</v>
      </c>
      <c r="J43" s="40" t="s">
        <v>130</v>
      </c>
    </row>
    <row r="44" spans="3:17" x14ac:dyDescent="0.35">
      <c r="H44" s="6" t="s">
        <v>3</v>
      </c>
      <c r="I44" s="11">
        <v>10</v>
      </c>
      <c r="J44" s="40" t="s">
        <v>4</v>
      </c>
    </row>
    <row r="45" spans="3:17" x14ac:dyDescent="0.35">
      <c r="H45" s="48" t="s">
        <v>165</v>
      </c>
      <c r="I45" s="11">
        <v>6.25</v>
      </c>
      <c r="J45" s="40" t="s">
        <v>158</v>
      </c>
    </row>
    <row r="46" spans="3:17" x14ac:dyDescent="0.35">
      <c r="H46" s="48" t="s">
        <v>166</v>
      </c>
      <c r="I46" s="11">
        <v>12.5</v>
      </c>
      <c r="J46" s="40" t="s">
        <v>158</v>
      </c>
    </row>
    <row r="47" spans="3:17" x14ac:dyDescent="0.35">
      <c r="H47" s="48" t="s">
        <v>167</v>
      </c>
      <c r="I47" s="11">
        <f>'Jund Pyroclast'!J15</f>
        <v>138.5</v>
      </c>
      <c r="J47" s="40" t="s">
        <v>158</v>
      </c>
    </row>
    <row r="48" spans="3:17" x14ac:dyDescent="0.35">
      <c r="H48" s="48" t="s">
        <v>172</v>
      </c>
      <c r="I48" s="11">
        <v>2</v>
      </c>
      <c r="J48" s="40" t="s">
        <v>169</v>
      </c>
    </row>
    <row r="49" spans="8:10" x14ac:dyDescent="0.35">
      <c r="H49" s="48" t="s">
        <v>173</v>
      </c>
      <c r="I49" s="11">
        <v>2</v>
      </c>
      <c r="J49" s="40" t="s">
        <v>169</v>
      </c>
    </row>
    <row r="50" spans="8:10" x14ac:dyDescent="0.35">
      <c r="H50" s="48" t="s">
        <v>174</v>
      </c>
      <c r="I50" s="11">
        <v>2</v>
      </c>
      <c r="J50" s="40" t="s">
        <v>169</v>
      </c>
    </row>
    <row r="51" spans="8:10" x14ac:dyDescent="0.35">
      <c r="H51" s="48" t="s">
        <v>175</v>
      </c>
      <c r="I51" s="11">
        <v>2.5</v>
      </c>
      <c r="J51" s="40" t="s">
        <v>169</v>
      </c>
    </row>
    <row r="52" spans="8:10" x14ac:dyDescent="0.35">
      <c r="H52" s="48" t="s">
        <v>176</v>
      </c>
      <c r="I52" s="11">
        <v>2.5</v>
      </c>
      <c r="J52" s="40" t="s">
        <v>169</v>
      </c>
    </row>
    <row r="53" spans="8:10" x14ac:dyDescent="0.35">
      <c r="H53" s="48" t="s">
        <v>177</v>
      </c>
      <c r="I53" s="11">
        <v>5</v>
      </c>
      <c r="J53" s="40" t="s">
        <v>169</v>
      </c>
    </row>
    <row r="54" spans="8:10" x14ac:dyDescent="0.35">
      <c r="H54" s="48" t="s">
        <v>178</v>
      </c>
      <c r="I54" s="11">
        <v>5</v>
      </c>
      <c r="J54" s="40" t="s">
        <v>169</v>
      </c>
    </row>
    <row r="55" spans="8:10" x14ac:dyDescent="0.35">
      <c r="H55" s="48" t="s">
        <v>179</v>
      </c>
      <c r="I55" s="11">
        <v>5</v>
      </c>
      <c r="J55" s="40" t="s">
        <v>169</v>
      </c>
    </row>
    <row r="56" spans="8:10" x14ac:dyDescent="0.35">
      <c r="H56" s="48" t="s">
        <v>180</v>
      </c>
      <c r="I56" s="11">
        <v>5</v>
      </c>
      <c r="J56" s="40" t="s">
        <v>169</v>
      </c>
    </row>
    <row r="57" spans="8:10" x14ac:dyDescent="0.35">
      <c r="H57" s="48" t="s">
        <v>181</v>
      </c>
      <c r="I57" s="11">
        <v>5</v>
      </c>
      <c r="J57" s="40" t="s">
        <v>169</v>
      </c>
    </row>
    <row r="58" spans="8:10" x14ac:dyDescent="0.35">
      <c r="H58" s="48" t="s">
        <v>182</v>
      </c>
      <c r="I58" s="11">
        <v>5</v>
      </c>
      <c r="J58" s="40" t="s">
        <v>169</v>
      </c>
    </row>
    <row r="59" spans="8:10" x14ac:dyDescent="0.35">
      <c r="H59" s="48" t="s">
        <v>183</v>
      </c>
      <c r="I59" s="11">
        <v>5</v>
      </c>
      <c r="J59" s="40" t="s">
        <v>169</v>
      </c>
    </row>
    <row r="60" spans="8:10" x14ac:dyDescent="0.35">
      <c r="H60" s="48" t="s">
        <v>184</v>
      </c>
      <c r="I60" s="11">
        <v>5</v>
      </c>
      <c r="J60" s="40" t="s">
        <v>169</v>
      </c>
    </row>
    <row r="61" spans="8:10" x14ac:dyDescent="0.35">
      <c r="H61" s="48" t="s">
        <v>185</v>
      </c>
      <c r="I61" s="11">
        <v>11.41666</v>
      </c>
      <c r="J61" s="40" t="s">
        <v>169</v>
      </c>
    </row>
    <row r="62" spans="8:10" x14ac:dyDescent="0.35">
      <c r="H62" s="6" t="s">
        <v>53</v>
      </c>
      <c r="I62" s="11">
        <f>'Oran-Rief Mines'!K13</f>
        <v>1.2333333333333294</v>
      </c>
      <c r="J62" s="40" t="s">
        <v>201</v>
      </c>
    </row>
    <row r="63" spans="8:10" x14ac:dyDescent="0.35">
      <c r="H63" s="48" t="s">
        <v>210</v>
      </c>
      <c r="I63" s="11">
        <v>5</v>
      </c>
      <c r="J63" s="40" t="s">
        <v>199</v>
      </c>
    </row>
    <row r="64" spans="8:10" x14ac:dyDescent="0.35">
      <c r="H64" s="48" t="s">
        <v>211</v>
      </c>
      <c r="I64" s="11">
        <v>2.5</v>
      </c>
      <c r="J64" s="40" t="s">
        <v>199</v>
      </c>
    </row>
    <row r="65" spans="3:10" x14ac:dyDescent="0.35">
      <c r="H65" s="48" t="s">
        <v>212</v>
      </c>
      <c r="I65" s="11">
        <v>2</v>
      </c>
      <c r="J65" s="40" t="s">
        <v>199</v>
      </c>
    </row>
    <row r="66" spans="3:10" x14ac:dyDescent="0.35">
      <c r="H66" s="48" t="s">
        <v>213</v>
      </c>
      <c r="I66" s="11">
        <v>2</v>
      </c>
      <c r="J66" s="40" t="s">
        <v>199</v>
      </c>
    </row>
    <row r="67" spans="3:10" x14ac:dyDescent="0.35">
      <c r="H67" s="48" t="s">
        <v>214</v>
      </c>
      <c r="I67" s="11">
        <v>2</v>
      </c>
      <c r="J67" s="40" t="s">
        <v>199</v>
      </c>
    </row>
    <row r="68" spans="3:10" x14ac:dyDescent="0.35">
      <c r="C68" s="1"/>
      <c r="H68" s="48" t="s">
        <v>215</v>
      </c>
      <c r="I68" s="11">
        <v>1</v>
      </c>
      <c r="J68" s="40" t="s">
        <v>199</v>
      </c>
    </row>
    <row r="69" spans="3:10" x14ac:dyDescent="0.35">
      <c r="C69" s="1"/>
      <c r="H69" s="48" t="s">
        <v>224</v>
      </c>
      <c r="I69" s="11">
        <f>5/8</f>
        <v>0.625</v>
      </c>
      <c r="J69" s="40" t="s">
        <v>216</v>
      </c>
    </row>
    <row r="70" spans="3:10" x14ac:dyDescent="0.35">
      <c r="C70" s="1"/>
      <c r="H70" s="48" t="s">
        <v>225</v>
      </c>
      <c r="I70" s="11">
        <v>1</v>
      </c>
      <c r="J70" s="40" t="s">
        <v>216</v>
      </c>
    </row>
    <row r="71" spans="3:10" x14ac:dyDescent="0.35">
      <c r="H71" s="48" t="s">
        <v>226</v>
      </c>
      <c r="I71" s="11">
        <v>0.5</v>
      </c>
      <c r="J71" s="40" t="s">
        <v>216</v>
      </c>
    </row>
    <row r="72" spans="3:10" x14ac:dyDescent="0.35">
      <c r="H72" s="48" t="s">
        <v>227</v>
      </c>
      <c r="I72" s="11">
        <v>3.5</v>
      </c>
      <c r="J72" s="40" t="s">
        <v>216</v>
      </c>
    </row>
    <row r="73" spans="3:10" x14ac:dyDescent="0.35">
      <c r="H73" s="48" t="s">
        <v>228</v>
      </c>
      <c r="I73" s="11">
        <v>0.5</v>
      </c>
      <c r="J73" s="40" t="s">
        <v>216</v>
      </c>
    </row>
    <row r="74" spans="3:10" x14ac:dyDescent="0.35">
      <c r="H74" s="48" t="s">
        <v>233</v>
      </c>
      <c r="I74" s="11">
        <v>20</v>
      </c>
      <c r="J74" s="40" t="s">
        <v>229</v>
      </c>
    </row>
    <row r="75" spans="3:10" x14ac:dyDescent="0.35">
      <c r="H75" s="48" t="s">
        <v>234</v>
      </c>
      <c r="I75" s="11">
        <v>0.5</v>
      </c>
      <c r="J75" s="40" t="s">
        <v>229</v>
      </c>
    </row>
    <row r="76" spans="3:10" x14ac:dyDescent="0.35">
      <c r="H76" s="48" t="s">
        <v>235</v>
      </c>
      <c r="I76" s="11">
        <v>0.5</v>
      </c>
      <c r="J76" s="40" t="s">
        <v>229</v>
      </c>
    </row>
    <row r="77" spans="3:10" x14ac:dyDescent="0.35">
      <c r="C77" s="1"/>
      <c r="H77" s="48" t="s">
        <v>248</v>
      </c>
      <c r="I77" s="11">
        <v>1.5625</v>
      </c>
      <c r="J77" s="40" t="s">
        <v>251</v>
      </c>
    </row>
    <row r="78" spans="3:10" x14ac:dyDescent="0.35">
      <c r="C78" s="1"/>
      <c r="H78" s="48" t="s">
        <v>249</v>
      </c>
      <c r="I78" s="11">
        <v>1.5625</v>
      </c>
      <c r="J78" s="40" t="s">
        <v>251</v>
      </c>
    </row>
    <row r="79" spans="3:10" x14ac:dyDescent="0.35">
      <c r="C79" s="1"/>
      <c r="H79" s="48" t="s">
        <v>358</v>
      </c>
      <c r="I79" s="11">
        <v>11.52</v>
      </c>
      <c r="J79" s="40" t="s">
        <v>251</v>
      </c>
    </row>
    <row r="80" spans="3:10" x14ac:dyDescent="0.35">
      <c r="C80" s="1"/>
      <c r="H80" s="48" t="s">
        <v>318</v>
      </c>
      <c r="I80" s="11">
        <v>10</v>
      </c>
      <c r="J80" s="40" t="s">
        <v>251</v>
      </c>
    </row>
    <row r="81" spans="2:16" x14ac:dyDescent="0.35">
      <c r="C81" s="1"/>
      <c r="H81" s="48" t="s">
        <v>339</v>
      </c>
      <c r="I81" s="11">
        <v>5</v>
      </c>
      <c r="J81" s="40" t="s">
        <v>251</v>
      </c>
    </row>
    <row r="82" spans="2:16" x14ac:dyDescent="0.35">
      <c r="C82" s="1"/>
      <c r="H82" s="48" t="s">
        <v>340</v>
      </c>
      <c r="I82" s="11">
        <v>4.2</v>
      </c>
      <c r="J82" s="40" t="s">
        <v>251</v>
      </c>
    </row>
    <row r="83" spans="2:16" x14ac:dyDescent="0.35">
      <c r="H83" s="48" t="s">
        <v>314</v>
      </c>
      <c r="I83" s="11">
        <v>2.73</v>
      </c>
      <c r="J83" s="40" t="s">
        <v>251</v>
      </c>
    </row>
    <row r="84" spans="2:16" x14ac:dyDescent="0.35">
      <c r="H84" s="48" t="s">
        <v>312</v>
      </c>
      <c r="I84" s="11">
        <v>2.73</v>
      </c>
      <c r="J84" s="40" t="s">
        <v>251</v>
      </c>
    </row>
    <row r="85" spans="2:16" x14ac:dyDescent="0.35">
      <c r="H85" s="48" t="s">
        <v>319</v>
      </c>
      <c r="I85" s="11">
        <v>1.54</v>
      </c>
      <c r="J85" s="40" t="s">
        <v>251</v>
      </c>
    </row>
    <row r="86" spans="2:16" x14ac:dyDescent="0.35">
      <c r="H86" s="48" t="s">
        <v>342</v>
      </c>
      <c r="I86" s="11">
        <v>1</v>
      </c>
      <c r="J86" s="40" t="s">
        <v>251</v>
      </c>
    </row>
    <row r="87" spans="2:16" x14ac:dyDescent="0.35">
      <c r="H87" s="48" t="s">
        <v>299</v>
      </c>
      <c r="I87" s="11">
        <v>0.25</v>
      </c>
      <c r="J87" s="40" t="s">
        <v>251</v>
      </c>
      <c r="P87" s="1"/>
    </row>
    <row r="88" spans="2:16" x14ac:dyDescent="0.35">
      <c r="B88" s="1"/>
      <c r="C88" s="1"/>
      <c r="D88"/>
      <c r="H88" s="48" t="s">
        <v>349</v>
      </c>
      <c r="I88" s="11">
        <v>0.21</v>
      </c>
      <c r="J88" s="40" t="s">
        <v>251</v>
      </c>
    </row>
    <row r="89" spans="2:16" x14ac:dyDescent="0.35">
      <c r="B89" s="1"/>
      <c r="C89" s="1"/>
      <c r="D89"/>
      <c r="H89" s="48" t="s">
        <v>359</v>
      </c>
      <c r="I89" s="11">
        <f>7/75</f>
        <v>9.3333333333333338E-2</v>
      </c>
      <c r="J89" s="40" t="s">
        <v>251</v>
      </c>
    </row>
    <row r="90" spans="2:16" x14ac:dyDescent="0.35">
      <c r="B90" s="1"/>
      <c r="C90" s="1"/>
      <c r="D90"/>
      <c r="H90" s="48" t="s">
        <v>380</v>
      </c>
      <c r="I90" s="11">
        <v>5</v>
      </c>
      <c r="J90" s="40" t="s">
        <v>375</v>
      </c>
    </row>
    <row r="91" spans="2:16" x14ac:dyDescent="0.35">
      <c r="B91" s="1"/>
      <c r="C91" s="1"/>
      <c r="D91"/>
      <c r="H91" s="48" t="s">
        <v>384</v>
      </c>
      <c r="I91" s="11">
        <v>1.75</v>
      </c>
      <c r="J91" s="40" t="s">
        <v>375</v>
      </c>
    </row>
    <row r="92" spans="2:16" x14ac:dyDescent="0.35">
      <c r="B92" s="1"/>
      <c r="C92" s="1"/>
      <c r="D92"/>
      <c r="H92" s="48" t="s">
        <v>385</v>
      </c>
      <c r="I92" s="11">
        <v>2.91</v>
      </c>
      <c r="J92" s="40" t="s">
        <v>375</v>
      </c>
    </row>
    <row r="93" spans="2:16" x14ac:dyDescent="0.35">
      <c r="H93" s="48" t="s">
        <v>386</v>
      </c>
      <c r="I93" s="11">
        <v>2.83</v>
      </c>
      <c r="J93" s="40" t="s">
        <v>375</v>
      </c>
    </row>
    <row r="94" spans="2:16" x14ac:dyDescent="0.35">
      <c r="B94" s="1"/>
      <c r="C94" s="1"/>
      <c r="D94"/>
      <c r="H94" s="48" t="s">
        <v>387</v>
      </c>
      <c r="I94" s="11">
        <f>'The Mirrodin Trigon'!K21</f>
        <v>17.188888888888869</v>
      </c>
      <c r="J94" s="40" t="s">
        <v>375</v>
      </c>
    </row>
    <row r="95" spans="2:16" x14ac:dyDescent="0.35">
      <c r="B95" s="1"/>
      <c r="C95" s="1"/>
      <c r="D95"/>
      <c r="H95" s="6" t="s">
        <v>409</v>
      </c>
      <c r="I95" s="11">
        <v>4</v>
      </c>
      <c r="J95" s="40" t="s">
        <v>397</v>
      </c>
    </row>
    <row r="96" spans="2:16" x14ac:dyDescent="0.35">
      <c r="B96" s="1"/>
      <c r="C96" s="1"/>
      <c r="D96"/>
      <c r="H96" s="5" t="s">
        <v>441</v>
      </c>
      <c r="I96" s="11">
        <v>0.1</v>
      </c>
      <c r="J96" s="40" t="s">
        <v>414</v>
      </c>
    </row>
    <row r="97" spans="2:20" x14ac:dyDescent="0.35">
      <c r="B97" s="1"/>
      <c r="C97" s="1"/>
      <c r="D97"/>
      <c r="H97" s="5" t="s">
        <v>204</v>
      </c>
      <c r="I97" s="11">
        <f>6+1/3</f>
        <v>6.333333333333333</v>
      </c>
      <c r="J97" s="40" t="s">
        <v>414</v>
      </c>
    </row>
    <row r="98" spans="2:20" x14ac:dyDescent="0.35">
      <c r="B98" s="1"/>
      <c r="C98" s="1"/>
      <c r="D98"/>
      <c r="H98" s="5" t="s">
        <v>426</v>
      </c>
      <c r="I98" s="11">
        <v>1</v>
      </c>
      <c r="J98" s="40" t="s">
        <v>414</v>
      </c>
      <c r="R98" s="1"/>
    </row>
    <row r="99" spans="2:20" x14ac:dyDescent="0.35">
      <c r="B99" s="1"/>
      <c r="C99" s="1"/>
      <c r="D99"/>
      <c r="H99" s="5" t="s">
        <v>447</v>
      </c>
      <c r="I99" s="38">
        <f>364/1215</f>
        <v>0.29958847736625516</v>
      </c>
      <c r="J99" s="41" t="s">
        <v>442</v>
      </c>
      <c r="R99" s="1"/>
    </row>
    <row r="100" spans="2:20" x14ac:dyDescent="0.35">
      <c r="B100" s="1"/>
      <c r="C100" s="1"/>
      <c r="D100"/>
      <c r="H100" s="5" t="s">
        <v>88</v>
      </c>
      <c r="I100" s="11">
        <v>5</v>
      </c>
      <c r="J100" s="41" t="s">
        <v>442</v>
      </c>
    </row>
    <row r="101" spans="2:20" x14ac:dyDescent="0.35">
      <c r="H101" s="5" t="s">
        <v>61</v>
      </c>
      <c r="I101" s="11">
        <f>8+1/3</f>
        <v>8.3333333333333339</v>
      </c>
      <c r="J101" s="41" t="s">
        <v>442</v>
      </c>
    </row>
    <row r="102" spans="2:20" x14ac:dyDescent="0.35">
      <c r="H102" s="5" t="s">
        <v>34</v>
      </c>
      <c r="I102" s="11">
        <v>45</v>
      </c>
      <c r="J102" s="41" t="s">
        <v>442</v>
      </c>
      <c r="T102" s="1"/>
    </row>
    <row r="103" spans="2:20" x14ac:dyDescent="0.35">
      <c r="H103" s="5" t="s">
        <v>41</v>
      </c>
      <c r="I103" s="11">
        <v>45</v>
      </c>
      <c r="J103" s="41" t="s">
        <v>442</v>
      </c>
      <c r="T103" s="1"/>
    </row>
    <row r="104" spans="2:20" x14ac:dyDescent="0.35">
      <c r="H104" s="6" t="s">
        <v>54</v>
      </c>
      <c r="I104" s="11">
        <v>5</v>
      </c>
      <c r="J104" s="41" t="s">
        <v>442</v>
      </c>
      <c r="O104" s="1"/>
      <c r="T104" s="1"/>
    </row>
    <row r="105" spans="2:20" x14ac:dyDescent="0.35">
      <c r="H105" s="6" t="s">
        <v>457</v>
      </c>
      <c r="I105" s="11">
        <v>5</v>
      </c>
      <c r="J105" s="41" t="s">
        <v>442</v>
      </c>
      <c r="O105" s="1"/>
      <c r="T105" s="1"/>
    </row>
    <row r="106" spans="2:20" x14ac:dyDescent="0.35">
      <c r="H106" s="6" t="s">
        <v>131</v>
      </c>
      <c r="I106" s="11">
        <v>5</v>
      </c>
      <c r="J106" s="41" t="s">
        <v>442</v>
      </c>
      <c r="O106" s="1"/>
      <c r="T106" s="1"/>
    </row>
    <row r="107" spans="2:20" x14ac:dyDescent="0.35">
      <c r="H107" s="6" t="s">
        <v>18</v>
      </c>
      <c r="I107" s="11">
        <v>3.75</v>
      </c>
      <c r="J107" s="41" t="s">
        <v>442</v>
      </c>
      <c r="P107" s="1"/>
      <c r="T107" s="1"/>
    </row>
    <row r="108" spans="2:20" x14ac:dyDescent="0.35">
      <c r="H108" s="6" t="s">
        <v>458</v>
      </c>
      <c r="I108" s="11">
        <v>2.5</v>
      </c>
      <c r="J108" s="41" t="s">
        <v>442</v>
      </c>
      <c r="P108" s="1"/>
    </row>
    <row r="109" spans="2:20" x14ac:dyDescent="0.35">
      <c r="H109" s="6" t="s">
        <v>49</v>
      </c>
      <c r="I109" s="11">
        <v>30</v>
      </c>
      <c r="J109" s="41" t="s">
        <v>442</v>
      </c>
      <c r="P109" s="1"/>
    </row>
    <row r="110" spans="2:20" x14ac:dyDescent="0.35">
      <c r="H110" s="6" t="s">
        <v>468</v>
      </c>
      <c r="I110" s="11">
        <f>'Aetherflux Reactor'!K33</f>
        <v>1</v>
      </c>
      <c r="J110" s="41" t="s">
        <v>442</v>
      </c>
      <c r="P110" s="1"/>
    </row>
    <row r="111" spans="2:20" x14ac:dyDescent="0.35">
      <c r="H111" s="6" t="s">
        <v>471</v>
      </c>
      <c r="I111" s="11">
        <f>14+2/3</f>
        <v>14.666666666666666</v>
      </c>
      <c r="J111" s="41" t="s">
        <v>442</v>
      </c>
      <c r="P111" s="1"/>
    </row>
    <row r="112" spans="2:20" x14ac:dyDescent="0.35">
      <c r="H112" s="6" t="s">
        <v>17</v>
      </c>
      <c r="I112" s="11">
        <v>5</v>
      </c>
      <c r="J112" s="41" t="s">
        <v>442</v>
      </c>
      <c r="P112" s="1"/>
    </row>
    <row r="113" spans="4:16" x14ac:dyDescent="0.35">
      <c r="H113" s="6" t="s">
        <v>43</v>
      </c>
      <c r="I113" s="11">
        <v>5</v>
      </c>
      <c r="J113" s="41" t="s">
        <v>442</v>
      </c>
      <c r="P113" s="1"/>
    </row>
    <row r="114" spans="4:16" x14ac:dyDescent="0.35">
      <c r="H114" s="6" t="s">
        <v>509</v>
      </c>
      <c r="I114" s="11">
        <v>5</v>
      </c>
      <c r="J114" s="41" t="s">
        <v>505</v>
      </c>
    </row>
    <row r="115" spans="4:16" x14ac:dyDescent="0.35">
      <c r="H115" s="6" t="s">
        <v>358</v>
      </c>
      <c r="I115" s="11">
        <f>'The Interplanar Beacon'!L14</f>
        <v>13.466666666666667</v>
      </c>
      <c r="J115" s="40" t="s">
        <v>514</v>
      </c>
    </row>
    <row r="116" spans="4:16" x14ac:dyDescent="0.35">
      <c r="H116" s="93" t="s">
        <v>103</v>
      </c>
      <c r="I116" s="68">
        <v>5.4</v>
      </c>
      <c r="J116" s="97" t="s">
        <v>514</v>
      </c>
    </row>
    <row r="117" spans="4:16" x14ac:dyDescent="0.35">
      <c r="H117" s="4" t="s">
        <v>552</v>
      </c>
      <c r="I117" s="9">
        <v>2.4</v>
      </c>
      <c r="J117" s="4" t="s">
        <v>514</v>
      </c>
      <c r="O117" s="1"/>
    </row>
    <row r="118" spans="4:16" x14ac:dyDescent="0.35">
      <c r="H118" s="4" t="s">
        <v>541</v>
      </c>
      <c r="I118" s="9">
        <v>1</v>
      </c>
      <c r="J118" s="4" t="s">
        <v>514</v>
      </c>
    </row>
    <row r="119" spans="4:16" x14ac:dyDescent="0.35">
      <c r="H119" s="4" t="s">
        <v>538</v>
      </c>
      <c r="I119" s="9">
        <v>7</v>
      </c>
      <c r="J119" s="4" t="s">
        <v>514</v>
      </c>
    </row>
    <row r="120" spans="4:16" x14ac:dyDescent="0.35">
      <c r="H120" s="6"/>
      <c r="I120" s="11"/>
      <c r="J120" s="40"/>
    </row>
    <row r="121" spans="4:16" x14ac:dyDescent="0.35">
      <c r="G121" s="1"/>
      <c r="H121" s="6"/>
      <c r="I121" s="11"/>
      <c r="J121" s="40"/>
    </row>
    <row r="122" spans="4:16" x14ac:dyDescent="0.35">
      <c r="G122" s="1"/>
      <c r="H122" s="6"/>
      <c r="I122" s="11"/>
      <c r="J122" s="40"/>
    </row>
    <row r="123" spans="4:16" x14ac:dyDescent="0.35">
      <c r="D123"/>
      <c r="E123" s="1"/>
      <c r="G123" s="1"/>
      <c r="H123" s="6"/>
      <c r="I123" s="11"/>
      <c r="J123" s="40"/>
    </row>
    <row r="124" spans="4:16" x14ac:dyDescent="0.35">
      <c r="D124"/>
      <c r="E124" s="1"/>
      <c r="H124" s="6"/>
      <c r="I124" s="11"/>
      <c r="J124" s="40"/>
    </row>
    <row r="125" spans="4:16" x14ac:dyDescent="0.35">
      <c r="H125" s="6"/>
      <c r="I125" s="11"/>
      <c r="J125" s="40"/>
    </row>
    <row r="126" spans="4:16" x14ac:dyDescent="0.35">
      <c r="H126" s="6"/>
      <c r="I126" s="11"/>
      <c r="J126" s="40"/>
    </row>
    <row r="127" spans="4:16" x14ac:dyDescent="0.35">
      <c r="H127" s="6"/>
      <c r="I127" s="11"/>
      <c r="J127" s="40"/>
    </row>
    <row r="128" spans="4:16" x14ac:dyDescent="0.35">
      <c r="H128" s="6"/>
      <c r="I128" s="11"/>
      <c r="J128" s="40"/>
    </row>
    <row r="129" spans="8:22" x14ac:dyDescent="0.35">
      <c r="H129" s="6"/>
      <c r="I129" s="11"/>
      <c r="J129" s="40"/>
    </row>
    <row r="130" spans="8:22" x14ac:dyDescent="0.35">
      <c r="H130" s="6"/>
      <c r="I130" s="11"/>
      <c r="J130" s="40"/>
    </row>
    <row r="131" spans="8:22" x14ac:dyDescent="0.35">
      <c r="H131" s="6"/>
      <c r="I131" s="11"/>
      <c r="J131" s="40"/>
    </row>
    <row r="132" spans="8:22" ht="15" thickBot="1" x14ac:dyDescent="0.4">
      <c r="H132" s="7"/>
      <c r="I132" s="44"/>
      <c r="J132" s="42"/>
    </row>
    <row r="134" spans="8:22" x14ac:dyDescent="0.35">
      <c r="V134" s="1"/>
    </row>
  </sheetData>
  <sortState xmlns:xlrd2="http://schemas.microsoft.com/office/spreadsheetml/2017/richdata2" ref="C6:E18">
    <sortCondition ref="C6:C18"/>
  </sortState>
  <mergeCells count="2">
    <mergeCell ref="C4:E4"/>
    <mergeCell ref="H4:J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CCE8D-0CE2-4D53-8FB4-EA2891D6F3B5}">
  <dimension ref="C3:M38"/>
  <sheetViews>
    <sheetView workbookViewId="0">
      <selection activeCell="E37" sqref="E37"/>
    </sheetView>
  </sheetViews>
  <sheetFormatPr defaultRowHeight="14.5" x14ac:dyDescent="0.35"/>
  <cols>
    <col min="3" max="3" width="17.81640625" bestFit="1" customWidth="1"/>
    <col min="4" max="4" width="19.26953125" bestFit="1" customWidth="1"/>
    <col min="6" max="6" width="5.7265625" bestFit="1" customWidth="1"/>
    <col min="7" max="7" width="7.36328125" bestFit="1" customWidth="1"/>
    <col min="8" max="8" width="13.54296875" bestFit="1" customWidth="1"/>
    <col min="11" max="11" width="15.26953125" bestFit="1" customWidth="1"/>
    <col min="12" max="12" width="7.36328125" bestFit="1" customWidth="1"/>
    <col min="13" max="13" width="16.26953125" bestFit="1" customWidth="1"/>
  </cols>
  <sheetData>
    <row r="3" spans="3:13" ht="15" thickBot="1" x14ac:dyDescent="0.4"/>
    <row r="4" spans="3:13" ht="15" thickBot="1" x14ac:dyDescent="0.4">
      <c r="C4" s="16" t="s">
        <v>9</v>
      </c>
      <c r="D4" s="19" t="s">
        <v>4</v>
      </c>
      <c r="F4" s="111" t="s">
        <v>15</v>
      </c>
      <c r="G4" s="112"/>
      <c r="H4" s="113"/>
      <c r="K4" s="111" t="s">
        <v>16</v>
      </c>
      <c r="L4" s="112"/>
      <c r="M4" s="113"/>
    </row>
    <row r="5" spans="3:13" ht="15" thickBot="1" x14ac:dyDescent="0.4">
      <c r="C5" s="17" t="s">
        <v>10</v>
      </c>
      <c r="D5" s="2" t="s">
        <v>27</v>
      </c>
      <c r="F5" s="14" t="s">
        <v>0</v>
      </c>
      <c r="G5" s="12" t="s">
        <v>1</v>
      </c>
      <c r="H5" s="14" t="s">
        <v>2</v>
      </c>
      <c r="K5" s="14" t="s">
        <v>0</v>
      </c>
      <c r="L5" s="12" t="s">
        <v>1</v>
      </c>
      <c r="M5" s="14" t="s">
        <v>24</v>
      </c>
    </row>
    <row r="6" spans="3:13" x14ac:dyDescent="0.35">
      <c r="C6" s="17" t="s">
        <v>11</v>
      </c>
      <c r="D6" s="2" t="s">
        <v>27</v>
      </c>
      <c r="F6" s="4" t="s">
        <v>17</v>
      </c>
      <c r="G6" s="8">
        <v>480</v>
      </c>
      <c r="H6" s="4" t="s">
        <v>21</v>
      </c>
      <c r="K6" s="4" t="s">
        <v>5</v>
      </c>
      <c r="L6" s="8">
        <v>15</v>
      </c>
      <c r="M6" s="4" t="s">
        <v>8</v>
      </c>
    </row>
    <row r="7" spans="3:13" x14ac:dyDescent="0.35">
      <c r="C7" s="17" t="s">
        <v>12</v>
      </c>
      <c r="D7" s="2" t="s">
        <v>28</v>
      </c>
      <c r="F7" s="2" t="s">
        <v>18</v>
      </c>
      <c r="G7" s="9">
        <v>480</v>
      </c>
      <c r="H7" s="4" t="s">
        <v>21</v>
      </c>
      <c r="K7" s="2" t="s">
        <v>6</v>
      </c>
      <c r="L7" s="9">
        <v>5</v>
      </c>
      <c r="M7" s="4" t="s">
        <v>8</v>
      </c>
    </row>
    <row r="8" spans="3:13" x14ac:dyDescent="0.35">
      <c r="C8" s="17" t="s">
        <v>13</v>
      </c>
      <c r="D8" s="2" t="s">
        <v>29</v>
      </c>
      <c r="F8" s="2" t="s">
        <v>19</v>
      </c>
      <c r="G8" s="9">
        <v>780</v>
      </c>
      <c r="H8" s="2" t="s">
        <v>22</v>
      </c>
      <c r="K8" s="2" t="s">
        <v>5</v>
      </c>
      <c r="L8" s="9">
        <v>58.332999999999998</v>
      </c>
      <c r="M8" s="2" t="s">
        <v>25</v>
      </c>
    </row>
    <row r="9" spans="3:13" ht="15" thickBot="1" x14ac:dyDescent="0.4">
      <c r="C9" s="18" t="s">
        <v>14</v>
      </c>
      <c r="D9" s="3" t="s">
        <v>30</v>
      </c>
      <c r="F9" s="2" t="s">
        <v>20</v>
      </c>
      <c r="G9" s="9">
        <v>300</v>
      </c>
      <c r="H9" s="2" t="s">
        <v>23</v>
      </c>
      <c r="K9" s="2" t="s">
        <v>26</v>
      </c>
      <c r="L9" s="9">
        <v>10</v>
      </c>
      <c r="M9" s="4" t="s">
        <v>8</v>
      </c>
    </row>
    <row r="10" spans="3:13" x14ac:dyDescent="0.35">
      <c r="F10" s="2"/>
      <c r="G10" s="9"/>
      <c r="H10" s="2"/>
      <c r="K10" s="2"/>
      <c r="L10" s="9"/>
      <c r="M10" s="2"/>
    </row>
    <row r="11" spans="3:13" x14ac:dyDescent="0.35">
      <c r="F11" s="2"/>
      <c r="G11" s="9"/>
      <c r="H11" s="2"/>
      <c r="K11" s="2"/>
      <c r="L11" s="9"/>
      <c r="M11" s="2"/>
    </row>
    <row r="12" spans="3:13" x14ac:dyDescent="0.35">
      <c r="F12" s="2"/>
      <c r="G12" s="9"/>
      <c r="H12" s="2"/>
      <c r="K12" s="2"/>
      <c r="L12" s="9"/>
      <c r="M12" s="2"/>
    </row>
    <row r="13" spans="3:13" x14ac:dyDescent="0.35">
      <c r="F13" s="2"/>
      <c r="G13" s="9"/>
      <c r="H13" s="2"/>
      <c r="K13" s="2"/>
      <c r="L13" s="9"/>
      <c r="M13" s="2"/>
    </row>
    <row r="14" spans="3:13" x14ac:dyDescent="0.35">
      <c r="F14" s="2"/>
      <c r="G14" s="9"/>
      <c r="H14" s="2"/>
      <c r="K14" s="2"/>
      <c r="L14" s="9"/>
      <c r="M14" s="2"/>
    </row>
    <row r="15" spans="3:13" x14ac:dyDescent="0.35">
      <c r="F15" s="2"/>
      <c r="G15" s="9"/>
      <c r="H15" s="2"/>
      <c r="K15" s="2"/>
      <c r="L15" s="9"/>
      <c r="M15" s="2"/>
    </row>
    <row r="16" spans="3:13" x14ac:dyDescent="0.35">
      <c r="F16" s="2"/>
      <c r="G16" s="9"/>
      <c r="H16" s="2"/>
      <c r="K16" s="2"/>
      <c r="L16" s="9"/>
      <c r="M16" s="2"/>
    </row>
    <row r="17" spans="6:13" x14ac:dyDescent="0.35">
      <c r="F17" s="2"/>
      <c r="G17" s="9"/>
      <c r="H17" s="2"/>
      <c r="K17" s="2"/>
      <c r="L17" s="9"/>
      <c r="M17" s="2"/>
    </row>
    <row r="18" spans="6:13" x14ac:dyDescent="0.35">
      <c r="F18" s="2"/>
      <c r="G18" s="9"/>
      <c r="H18" s="2"/>
      <c r="K18" s="2"/>
      <c r="L18" s="9"/>
      <c r="M18" s="2"/>
    </row>
    <row r="19" spans="6:13" x14ac:dyDescent="0.35">
      <c r="F19" s="2"/>
      <c r="G19" s="9"/>
      <c r="H19" s="2"/>
      <c r="K19" s="2"/>
      <c r="L19" s="9"/>
      <c r="M19" s="2"/>
    </row>
    <row r="20" spans="6:13" x14ac:dyDescent="0.35">
      <c r="F20" s="2"/>
      <c r="G20" s="9"/>
      <c r="H20" s="2"/>
      <c r="K20" s="2"/>
      <c r="L20" s="9"/>
      <c r="M20" s="2"/>
    </row>
    <row r="21" spans="6:13" x14ac:dyDescent="0.35">
      <c r="F21" s="2"/>
      <c r="G21" s="9"/>
      <c r="H21" s="2"/>
      <c r="K21" s="2"/>
      <c r="L21" s="9"/>
      <c r="M21" s="2"/>
    </row>
    <row r="22" spans="6:13" x14ac:dyDescent="0.35">
      <c r="F22" s="2"/>
      <c r="G22" s="9"/>
      <c r="H22" s="2"/>
      <c r="K22" s="2"/>
      <c r="L22" s="9"/>
      <c r="M22" s="2"/>
    </row>
    <row r="23" spans="6:13" x14ac:dyDescent="0.35">
      <c r="F23" s="2"/>
      <c r="G23" s="9"/>
      <c r="H23" s="2"/>
      <c r="K23" s="2"/>
      <c r="L23" s="9"/>
      <c r="M23" s="2"/>
    </row>
    <row r="24" spans="6:13" x14ac:dyDescent="0.35">
      <c r="F24" s="2"/>
      <c r="G24" s="9"/>
      <c r="H24" s="2"/>
      <c r="K24" s="2"/>
      <c r="L24" s="9"/>
      <c r="M24" s="2"/>
    </row>
    <row r="25" spans="6:13" x14ac:dyDescent="0.35">
      <c r="F25" s="2"/>
      <c r="G25" s="9"/>
      <c r="H25" s="2"/>
      <c r="K25" s="2"/>
      <c r="L25" s="9"/>
      <c r="M25" s="2"/>
    </row>
    <row r="26" spans="6:13" x14ac:dyDescent="0.35">
      <c r="F26" s="2"/>
      <c r="G26" s="9"/>
      <c r="H26" s="2"/>
      <c r="K26" s="2"/>
      <c r="L26" s="9"/>
      <c r="M26" s="2"/>
    </row>
    <row r="27" spans="6:13" x14ac:dyDescent="0.35">
      <c r="F27" s="2"/>
      <c r="G27" s="9"/>
      <c r="H27" s="2"/>
      <c r="K27" s="2"/>
      <c r="L27" s="9"/>
      <c r="M27" s="2"/>
    </row>
    <row r="28" spans="6:13" x14ac:dyDescent="0.35">
      <c r="F28" s="2"/>
      <c r="G28" s="9"/>
      <c r="H28" s="2"/>
      <c r="K28" s="2"/>
      <c r="L28" s="9"/>
      <c r="M28" s="2"/>
    </row>
    <row r="29" spans="6:13" x14ac:dyDescent="0.35">
      <c r="F29" s="2"/>
      <c r="G29" s="9"/>
      <c r="H29" s="2"/>
      <c r="K29" s="2"/>
      <c r="L29" s="9"/>
      <c r="M29" s="2"/>
    </row>
    <row r="30" spans="6:13" x14ac:dyDescent="0.35">
      <c r="F30" s="2"/>
      <c r="G30" s="9"/>
      <c r="H30" s="2"/>
      <c r="K30" s="2"/>
      <c r="L30" s="9"/>
      <c r="M30" s="2"/>
    </row>
    <row r="31" spans="6:13" x14ac:dyDescent="0.35">
      <c r="F31" s="2"/>
      <c r="G31" s="9"/>
      <c r="H31" s="2"/>
      <c r="K31" s="2"/>
      <c r="L31" s="9"/>
      <c r="M31" s="2"/>
    </row>
    <row r="32" spans="6:13" x14ac:dyDescent="0.35">
      <c r="F32" s="2"/>
      <c r="G32" s="9"/>
      <c r="H32" s="2"/>
      <c r="K32" s="2"/>
      <c r="L32" s="9"/>
      <c r="M32" s="2"/>
    </row>
    <row r="33" spans="6:13" x14ac:dyDescent="0.35">
      <c r="F33" s="2"/>
      <c r="G33" s="9"/>
      <c r="H33" s="2"/>
      <c r="K33" s="2"/>
      <c r="L33" s="9"/>
      <c r="M33" s="2"/>
    </row>
    <row r="34" spans="6:13" x14ac:dyDescent="0.35">
      <c r="F34" s="2"/>
      <c r="G34" s="9"/>
      <c r="H34" s="2"/>
      <c r="K34" s="2"/>
      <c r="L34" s="9"/>
      <c r="M34" s="2"/>
    </row>
    <row r="35" spans="6:13" x14ac:dyDescent="0.35">
      <c r="F35" s="2"/>
      <c r="G35" s="9"/>
      <c r="H35" s="2"/>
      <c r="K35" s="2"/>
      <c r="L35" s="9"/>
      <c r="M35" s="2"/>
    </row>
    <row r="36" spans="6:13" x14ac:dyDescent="0.35">
      <c r="F36" s="2"/>
      <c r="G36" s="9"/>
      <c r="H36" s="2"/>
      <c r="K36" s="2"/>
      <c r="L36" s="9"/>
      <c r="M36" s="2"/>
    </row>
    <row r="37" spans="6:13" x14ac:dyDescent="0.35">
      <c r="F37" s="2"/>
      <c r="G37" s="9"/>
      <c r="H37" s="2"/>
      <c r="K37" s="2"/>
      <c r="L37" s="9"/>
      <c r="M37" s="2"/>
    </row>
    <row r="38" spans="6:13" ht="15" thickBot="1" x14ac:dyDescent="0.4">
      <c r="F38" s="3"/>
      <c r="G38" s="10"/>
      <c r="H38" s="3"/>
      <c r="K38" s="3"/>
      <c r="L38" s="10"/>
      <c r="M38" s="3"/>
    </row>
  </sheetData>
  <mergeCells count="2">
    <mergeCell ref="F4:H4"/>
    <mergeCell ref="K4:M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4D34F-6552-48EC-88C9-9BCAF12F75CF}">
  <dimension ref="C3:U1048576"/>
  <sheetViews>
    <sheetView topLeftCell="B1" workbookViewId="0">
      <selection activeCell="AB28" sqref="AB28"/>
    </sheetView>
  </sheetViews>
  <sheetFormatPr defaultRowHeight="14.5" x14ac:dyDescent="0.35"/>
  <cols>
    <col min="3" max="3" width="17.81640625" bestFit="1" customWidth="1"/>
    <col min="4" max="4" width="27.54296875" style="23" customWidth="1"/>
    <col min="6" max="6" width="7.26953125" bestFit="1" customWidth="1"/>
    <col min="7" max="7" width="7.81640625" bestFit="1" customWidth="1"/>
    <col min="8" max="8" width="13.54296875" bestFit="1" customWidth="1"/>
    <col min="10" max="10" width="9.453125" customWidth="1"/>
    <col min="11" max="11" width="8.26953125" bestFit="1" customWidth="1"/>
    <col min="12" max="12" width="11.81640625" customWidth="1"/>
    <col min="13" max="13" width="27" bestFit="1" customWidth="1"/>
    <col min="14" max="14" width="19.90625" bestFit="1" customWidth="1"/>
    <col min="20" max="20" width="10.7265625" customWidth="1"/>
  </cols>
  <sheetData>
    <row r="3" spans="3:21" ht="15" thickBot="1" x14ac:dyDescent="0.4"/>
    <row r="4" spans="3:21" x14ac:dyDescent="0.35">
      <c r="C4" s="20" t="s">
        <v>9</v>
      </c>
      <c r="D4" s="24" t="s">
        <v>33</v>
      </c>
    </row>
    <row r="5" spans="3:21" x14ac:dyDescent="0.35">
      <c r="C5" s="21" t="s">
        <v>10</v>
      </c>
      <c r="D5" s="25" t="s">
        <v>27</v>
      </c>
    </row>
    <row r="6" spans="3:21" ht="88" customHeight="1" x14ac:dyDescent="0.35">
      <c r="C6" s="29" t="s">
        <v>11</v>
      </c>
      <c r="D6" s="30" t="s">
        <v>404</v>
      </c>
    </row>
    <row r="7" spans="3:21" x14ac:dyDescent="0.35">
      <c r="C7" s="21" t="s">
        <v>12</v>
      </c>
      <c r="D7" s="25" t="s">
        <v>36</v>
      </c>
    </row>
    <row r="8" spans="3:21" x14ac:dyDescent="0.35">
      <c r="C8" s="21" t="s">
        <v>13</v>
      </c>
      <c r="D8" s="25" t="s">
        <v>37</v>
      </c>
    </row>
    <row r="9" spans="3:21" x14ac:dyDescent="0.35">
      <c r="C9" s="21" t="s">
        <v>14</v>
      </c>
      <c r="D9" s="25" t="s">
        <v>40</v>
      </c>
    </row>
    <row r="10" spans="3:21" x14ac:dyDescent="0.35">
      <c r="C10" s="21" t="s">
        <v>31</v>
      </c>
      <c r="D10" s="25" t="s">
        <v>38</v>
      </c>
    </row>
    <row r="11" spans="3:21" ht="15" thickBot="1" x14ac:dyDescent="0.4">
      <c r="C11" s="22" t="s">
        <v>32</v>
      </c>
      <c r="D11" s="26" t="s">
        <v>39</v>
      </c>
    </row>
    <row r="12" spans="3:21" ht="15" thickBot="1" x14ac:dyDescent="0.4"/>
    <row r="13" spans="3:21" ht="15" thickBot="1" x14ac:dyDescent="0.4">
      <c r="F13" s="111" t="s">
        <v>15</v>
      </c>
      <c r="G13" s="112"/>
      <c r="H13" s="113"/>
      <c r="K13" s="111" t="s">
        <v>16</v>
      </c>
      <c r="L13" s="112"/>
      <c r="M13" s="112"/>
      <c r="N13" s="113"/>
    </row>
    <row r="14" spans="3:21" ht="15" customHeight="1" thickBot="1" x14ac:dyDescent="0.4">
      <c r="F14" s="14" t="s">
        <v>0</v>
      </c>
      <c r="G14" s="12" t="s">
        <v>1</v>
      </c>
      <c r="H14" s="14" t="s">
        <v>2</v>
      </c>
      <c r="K14" s="14" t="s">
        <v>0</v>
      </c>
      <c r="L14" s="12" t="s">
        <v>1</v>
      </c>
      <c r="M14" s="14" t="s">
        <v>24</v>
      </c>
      <c r="N14" s="34" t="s">
        <v>112</v>
      </c>
      <c r="P14" s="114" t="s">
        <v>115</v>
      </c>
      <c r="Q14" s="114"/>
      <c r="R14" s="114"/>
      <c r="S14" s="114"/>
      <c r="T14" s="114"/>
      <c r="U14" s="114"/>
    </row>
    <row r="15" spans="3:21" x14ac:dyDescent="0.35">
      <c r="F15" s="4" t="s">
        <v>34</v>
      </c>
      <c r="G15" s="8">
        <v>1800</v>
      </c>
      <c r="H15" s="4" t="s">
        <v>21</v>
      </c>
      <c r="K15" s="4" t="s">
        <v>35</v>
      </c>
      <c r="L15" s="8">
        <f>3342+6/7-L16-L17-L18-L19-L20-L21-L22-L23-L24-L25-L26</f>
        <v>130.06125533999602</v>
      </c>
      <c r="M15" s="4" t="s">
        <v>25</v>
      </c>
      <c r="N15" s="19"/>
      <c r="P15" s="114"/>
      <c r="Q15" s="114"/>
      <c r="R15" s="114"/>
      <c r="S15" s="114"/>
      <c r="T15" s="114"/>
      <c r="U15" s="114"/>
    </row>
    <row r="16" spans="3:21" x14ac:dyDescent="0.35">
      <c r="F16" s="2" t="s">
        <v>19</v>
      </c>
      <c r="G16" s="9">
        <v>514.27200000000005</v>
      </c>
      <c r="H16" s="4" t="s">
        <v>22</v>
      </c>
      <c r="K16" s="4" t="s">
        <v>35</v>
      </c>
      <c r="L16" s="9">
        <v>960</v>
      </c>
      <c r="M16" s="2" t="s">
        <v>55</v>
      </c>
      <c r="N16" s="2" t="s">
        <v>117</v>
      </c>
      <c r="P16" s="114"/>
      <c r="Q16" s="114"/>
      <c r="R16" s="114"/>
      <c r="S16" s="114"/>
      <c r="T16" s="114"/>
      <c r="U16" s="114"/>
    </row>
    <row r="17" spans="6:21" x14ac:dyDescent="0.35">
      <c r="F17" s="2"/>
      <c r="G17" s="9"/>
      <c r="H17" s="2"/>
      <c r="K17" s="4" t="s">
        <v>35</v>
      </c>
      <c r="L17" s="9">
        <v>111.25</v>
      </c>
      <c r="M17" s="2" t="s">
        <v>81</v>
      </c>
      <c r="N17" s="2" t="s">
        <v>116</v>
      </c>
      <c r="P17" s="114"/>
      <c r="Q17" s="114"/>
      <c r="R17" s="114"/>
      <c r="S17" s="114"/>
      <c r="T17" s="114"/>
      <c r="U17" s="114"/>
    </row>
    <row r="18" spans="6:21" x14ac:dyDescent="0.35">
      <c r="F18" s="2"/>
      <c r="G18" s="9"/>
      <c r="H18" s="2"/>
      <c r="K18" s="4" t="s">
        <v>35</v>
      </c>
      <c r="L18" s="9">
        <v>37.5</v>
      </c>
      <c r="M18" s="2" t="s">
        <v>90</v>
      </c>
      <c r="N18" s="2" t="s">
        <v>116</v>
      </c>
    </row>
    <row r="19" spans="6:21" x14ac:dyDescent="0.35">
      <c r="F19" s="2"/>
      <c r="G19" s="9"/>
      <c r="H19" s="2"/>
      <c r="K19" s="4" t="s">
        <v>118</v>
      </c>
      <c r="L19" s="9">
        <v>234.25</v>
      </c>
      <c r="M19" s="2" t="s">
        <v>111</v>
      </c>
      <c r="N19" s="2" t="s">
        <v>119</v>
      </c>
    </row>
    <row r="20" spans="6:21" x14ac:dyDescent="0.35">
      <c r="F20" s="2"/>
      <c r="G20" s="9"/>
      <c r="H20" s="2"/>
      <c r="K20" s="4" t="s">
        <v>35</v>
      </c>
      <c r="L20" s="9">
        <v>150</v>
      </c>
      <c r="M20" s="2" t="s">
        <v>169</v>
      </c>
      <c r="N20" s="2"/>
      <c r="P20" s="115" t="s">
        <v>145</v>
      </c>
      <c r="Q20" s="115"/>
      <c r="R20" s="115"/>
      <c r="S20" s="115"/>
      <c r="T20" s="115"/>
      <c r="U20" s="115"/>
    </row>
    <row r="21" spans="6:21" x14ac:dyDescent="0.35">
      <c r="F21" s="2"/>
      <c r="G21" s="9"/>
      <c r="H21" s="2"/>
      <c r="K21" s="4" t="s">
        <v>35</v>
      </c>
      <c r="L21" s="9">
        <v>12.013</v>
      </c>
      <c r="M21" s="2" t="s">
        <v>216</v>
      </c>
      <c r="N21" s="2"/>
    </row>
    <row r="22" spans="6:21" x14ac:dyDescent="0.35">
      <c r="F22" s="2"/>
      <c r="G22" s="9"/>
      <c r="H22" s="2"/>
      <c r="K22" s="2" t="s">
        <v>35</v>
      </c>
      <c r="L22" s="9">
        <f>9+3/8</f>
        <v>9.375</v>
      </c>
      <c r="M22" s="2" t="s">
        <v>158</v>
      </c>
      <c r="N22" s="2"/>
      <c r="P22" s="114" t="s">
        <v>171</v>
      </c>
      <c r="Q22" s="114"/>
      <c r="R22" s="114"/>
      <c r="S22" s="114"/>
      <c r="T22" s="114"/>
      <c r="U22" s="114"/>
    </row>
    <row r="23" spans="6:21" x14ac:dyDescent="0.35">
      <c r="F23" s="2"/>
      <c r="G23" s="9"/>
      <c r="H23" s="2"/>
      <c r="K23" s="2" t="s">
        <v>35</v>
      </c>
      <c r="L23">
        <f>628+1243/3645</f>
        <v>628.34101508916319</v>
      </c>
      <c r="M23" s="2" t="s">
        <v>251</v>
      </c>
      <c r="N23" s="2"/>
      <c r="P23" s="114"/>
      <c r="Q23" s="114"/>
      <c r="R23" s="114"/>
      <c r="S23" s="114"/>
      <c r="T23" s="114"/>
      <c r="U23" s="114"/>
    </row>
    <row r="24" spans="6:21" x14ac:dyDescent="0.35">
      <c r="F24" s="2"/>
      <c r="G24" s="9"/>
      <c r="H24" s="2"/>
      <c r="K24" s="2" t="s">
        <v>35</v>
      </c>
      <c r="L24" s="9">
        <f>41+47/54</f>
        <v>41.870370370370374</v>
      </c>
      <c r="M24" s="2" t="s">
        <v>375</v>
      </c>
      <c r="N24" s="2"/>
      <c r="P24" s="114"/>
      <c r="Q24" s="114"/>
      <c r="R24" s="114"/>
      <c r="S24" s="114"/>
      <c r="T24" s="114"/>
      <c r="U24" s="114"/>
    </row>
    <row r="25" spans="6:21" x14ac:dyDescent="0.35">
      <c r="F25" s="2"/>
      <c r="G25" s="9"/>
      <c r="H25" s="2"/>
      <c r="K25" s="2" t="s">
        <v>118</v>
      </c>
      <c r="L25" s="9">
        <f>30+230/243</f>
        <v>30.94650205761317</v>
      </c>
      <c r="M25" s="2" t="s">
        <v>397</v>
      </c>
      <c r="N25" s="2" t="s">
        <v>405</v>
      </c>
      <c r="P25" s="114"/>
      <c r="Q25" s="114"/>
      <c r="R25" s="114"/>
      <c r="S25" s="114"/>
      <c r="T25" s="114"/>
      <c r="U25" s="114"/>
    </row>
    <row r="26" spans="6:21" ht="14.5" customHeight="1" x14ac:dyDescent="0.35">
      <c r="F26" s="2"/>
      <c r="G26" s="9"/>
      <c r="H26" s="2"/>
      <c r="K26" s="2" t="s">
        <v>35</v>
      </c>
      <c r="L26" s="9">
        <v>997.25</v>
      </c>
      <c r="M26" s="2" t="s">
        <v>414</v>
      </c>
      <c r="N26" s="2"/>
      <c r="P26" s="114" t="s">
        <v>261</v>
      </c>
      <c r="Q26" s="114"/>
      <c r="R26" s="114"/>
      <c r="S26" s="114"/>
      <c r="T26" s="114"/>
      <c r="U26" s="114"/>
    </row>
    <row r="27" spans="6:21" x14ac:dyDescent="0.35">
      <c r="F27" s="2"/>
      <c r="G27" s="9"/>
      <c r="H27" s="2"/>
      <c r="K27" s="2"/>
      <c r="L27" s="9"/>
      <c r="M27" s="2"/>
      <c r="N27" s="2"/>
      <c r="P27" s="114"/>
      <c r="Q27" s="114"/>
      <c r="R27" s="114"/>
      <c r="S27" s="114"/>
      <c r="T27" s="114"/>
      <c r="U27" s="114"/>
    </row>
    <row r="28" spans="6:21" x14ac:dyDescent="0.35">
      <c r="F28" s="2"/>
      <c r="G28" s="9"/>
      <c r="H28" s="2"/>
      <c r="K28" s="2"/>
      <c r="L28" s="9"/>
      <c r="M28" s="2"/>
      <c r="N28" s="2"/>
      <c r="P28" s="114"/>
      <c r="Q28" s="114"/>
      <c r="R28" s="114"/>
      <c r="S28" s="114"/>
      <c r="T28" s="114"/>
      <c r="U28" s="114"/>
    </row>
    <row r="29" spans="6:21" x14ac:dyDescent="0.35">
      <c r="F29" s="2"/>
      <c r="G29" s="9"/>
      <c r="H29" s="2"/>
      <c r="K29" s="2"/>
      <c r="L29" s="9"/>
      <c r="M29" s="2"/>
      <c r="N29" s="2"/>
      <c r="P29" s="114"/>
      <c r="Q29" s="114"/>
      <c r="R29" s="114"/>
      <c r="S29" s="114"/>
      <c r="T29" s="114"/>
      <c r="U29" s="114"/>
    </row>
    <row r="30" spans="6:21" ht="14.5" customHeight="1" x14ac:dyDescent="0.35">
      <c r="F30" s="2"/>
      <c r="G30" s="9"/>
      <c r="H30" s="2"/>
      <c r="K30" s="2"/>
      <c r="L30" s="9"/>
      <c r="M30" s="2"/>
      <c r="N30" s="2"/>
      <c r="P30" s="114" t="s">
        <v>406</v>
      </c>
      <c r="Q30" s="114"/>
      <c r="R30" s="114"/>
      <c r="S30" s="114"/>
      <c r="T30" s="114"/>
      <c r="U30" s="114"/>
    </row>
    <row r="31" spans="6:21" x14ac:dyDescent="0.35">
      <c r="F31" s="2"/>
      <c r="G31" s="9"/>
      <c r="H31" s="2"/>
      <c r="K31" s="2"/>
      <c r="L31" s="9"/>
      <c r="M31" s="2"/>
      <c r="N31" s="2"/>
      <c r="P31" s="114"/>
      <c r="Q31" s="114"/>
      <c r="R31" s="114"/>
      <c r="S31" s="114"/>
      <c r="T31" s="114"/>
      <c r="U31" s="114"/>
    </row>
    <row r="32" spans="6:21" x14ac:dyDescent="0.35">
      <c r="F32" s="2"/>
      <c r="G32" s="9"/>
      <c r="H32" s="2"/>
      <c r="K32" s="2"/>
      <c r="L32" s="9"/>
      <c r="M32" s="2"/>
      <c r="N32" s="2"/>
      <c r="P32" s="114"/>
      <c r="Q32" s="114"/>
      <c r="R32" s="114"/>
      <c r="S32" s="114"/>
      <c r="T32" s="114"/>
      <c r="U32" s="114"/>
    </row>
    <row r="33" spans="6:21" x14ac:dyDescent="0.35">
      <c r="F33" s="2"/>
      <c r="G33" s="9"/>
      <c r="H33" s="2"/>
      <c r="K33" s="2"/>
      <c r="L33" s="9"/>
      <c r="M33" s="2"/>
      <c r="N33" s="2"/>
      <c r="P33" s="114"/>
      <c r="Q33" s="114"/>
      <c r="R33" s="114"/>
      <c r="S33" s="114"/>
      <c r="T33" s="114"/>
      <c r="U33" s="114"/>
    </row>
    <row r="34" spans="6:21" x14ac:dyDescent="0.35">
      <c r="F34" s="2"/>
      <c r="G34" s="9"/>
      <c r="H34" s="2"/>
      <c r="K34" s="2"/>
      <c r="L34" s="9"/>
      <c r="M34" s="2"/>
      <c r="N34" s="2"/>
      <c r="P34" s="114" t="s">
        <v>415</v>
      </c>
      <c r="Q34" s="114"/>
      <c r="R34" s="114"/>
      <c r="S34" s="114"/>
      <c r="T34" s="114"/>
      <c r="U34" s="114"/>
    </row>
    <row r="35" spans="6:21" x14ac:dyDescent="0.35">
      <c r="F35" s="2"/>
      <c r="G35" s="9"/>
      <c r="H35" s="2"/>
      <c r="K35" s="2"/>
      <c r="L35" s="9"/>
      <c r="M35" s="2"/>
      <c r="N35" s="2"/>
      <c r="P35" s="114"/>
      <c r="Q35" s="114"/>
      <c r="R35" s="114"/>
      <c r="S35" s="114"/>
      <c r="T35" s="114"/>
      <c r="U35" s="114"/>
    </row>
    <row r="36" spans="6:21" x14ac:dyDescent="0.35">
      <c r="F36" s="2"/>
      <c r="G36" s="9"/>
      <c r="H36" s="2"/>
      <c r="K36" s="2"/>
      <c r="L36" s="9"/>
      <c r="M36" s="2"/>
      <c r="N36" s="2"/>
      <c r="P36" s="114"/>
      <c r="Q36" s="114"/>
      <c r="R36" s="114"/>
      <c r="S36" s="114"/>
      <c r="T36" s="114"/>
      <c r="U36" s="114"/>
    </row>
    <row r="37" spans="6:21" x14ac:dyDescent="0.35">
      <c r="F37" s="2"/>
      <c r="G37" s="9"/>
      <c r="H37" s="2"/>
      <c r="K37" s="2"/>
      <c r="L37" s="9"/>
      <c r="M37" s="2"/>
      <c r="N37" s="2"/>
      <c r="P37" s="114"/>
      <c r="Q37" s="114"/>
      <c r="R37" s="114"/>
      <c r="S37" s="114"/>
      <c r="T37" s="114"/>
      <c r="U37" s="114"/>
    </row>
    <row r="38" spans="6:21" x14ac:dyDescent="0.35">
      <c r="F38" s="2"/>
      <c r="G38" s="9"/>
      <c r="H38" s="2"/>
      <c r="K38" s="2"/>
      <c r="L38" s="9"/>
      <c r="M38" s="2"/>
      <c r="N38" s="2"/>
    </row>
    <row r="39" spans="6:21" x14ac:dyDescent="0.35">
      <c r="F39" s="2"/>
      <c r="G39" s="9"/>
      <c r="H39" s="2"/>
      <c r="K39" s="2"/>
      <c r="L39" s="9"/>
      <c r="M39" s="2"/>
      <c r="N39" s="2"/>
    </row>
    <row r="40" spans="6:21" x14ac:dyDescent="0.35">
      <c r="F40" s="2"/>
      <c r="G40" s="9"/>
      <c r="H40" s="2"/>
      <c r="K40" s="2"/>
      <c r="L40" s="9"/>
      <c r="M40" s="2"/>
      <c r="N40" s="2"/>
    </row>
    <row r="41" spans="6:21" x14ac:dyDescent="0.35">
      <c r="F41" s="2"/>
      <c r="G41" s="9"/>
      <c r="H41" s="2"/>
      <c r="K41" s="2"/>
      <c r="L41" s="9"/>
      <c r="M41" s="2"/>
      <c r="N41" s="2"/>
    </row>
    <row r="42" spans="6:21" x14ac:dyDescent="0.35">
      <c r="F42" s="2"/>
      <c r="G42" s="9"/>
      <c r="H42" s="2"/>
      <c r="K42" s="2"/>
      <c r="L42" s="9"/>
      <c r="M42" s="2"/>
      <c r="N42" s="2"/>
    </row>
    <row r="43" spans="6:21" x14ac:dyDescent="0.35">
      <c r="F43" s="2"/>
      <c r="G43" s="9"/>
      <c r="H43" s="2"/>
      <c r="K43" s="2"/>
      <c r="L43" s="9"/>
      <c r="M43" s="2"/>
      <c r="N43" s="2"/>
    </row>
    <row r="44" spans="6:21" x14ac:dyDescent="0.35">
      <c r="F44" s="2"/>
      <c r="G44" s="9"/>
      <c r="H44" s="2"/>
      <c r="K44" s="2"/>
      <c r="L44" s="9"/>
      <c r="M44" s="2"/>
      <c r="N44" s="2"/>
    </row>
    <row r="45" spans="6:21" x14ac:dyDescent="0.35">
      <c r="F45" s="2"/>
      <c r="G45" s="9"/>
      <c r="H45" s="2"/>
      <c r="K45" s="2"/>
      <c r="L45" s="9"/>
      <c r="M45" s="2"/>
      <c r="N45" s="2"/>
    </row>
    <row r="46" spans="6:21" x14ac:dyDescent="0.35">
      <c r="F46" s="2"/>
      <c r="G46" s="9"/>
      <c r="H46" s="2"/>
      <c r="K46" s="2"/>
      <c r="L46" s="9"/>
      <c r="M46" s="2"/>
      <c r="N46" s="2"/>
    </row>
    <row r="47" spans="6:21" ht="15" thickBot="1" x14ac:dyDescent="0.4">
      <c r="F47" s="3"/>
      <c r="G47" s="10"/>
      <c r="H47" s="3"/>
      <c r="K47" s="3"/>
      <c r="L47" s="10"/>
      <c r="M47" s="3"/>
      <c r="N47" s="3"/>
    </row>
    <row r="1048576" spans="11:11" x14ac:dyDescent="0.35">
      <c r="K1048576" s="4"/>
    </row>
  </sheetData>
  <mergeCells count="8">
    <mergeCell ref="P34:U37"/>
    <mergeCell ref="P26:U29"/>
    <mergeCell ref="P30:U33"/>
    <mergeCell ref="P14:U17"/>
    <mergeCell ref="F13:H13"/>
    <mergeCell ref="K13:N13"/>
    <mergeCell ref="P20:U20"/>
    <mergeCell ref="P22:U2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350C4-6C4D-4B59-A3BC-5B1F652DB40B}">
  <dimension ref="B1:L45"/>
  <sheetViews>
    <sheetView topLeftCell="C1" workbookViewId="0">
      <selection activeCell="G4" sqref="G4"/>
    </sheetView>
  </sheetViews>
  <sheetFormatPr defaultRowHeight="14.5" x14ac:dyDescent="0.35"/>
  <cols>
    <col min="2" max="2" width="17.81640625" bestFit="1" customWidth="1"/>
    <col min="3" max="3" width="25.90625" customWidth="1"/>
    <col min="5" max="5" width="11.7265625" bestFit="1" customWidth="1"/>
    <col min="6" max="6" width="7.36328125" bestFit="1" customWidth="1"/>
    <col min="7" max="7" width="13.54296875" bestFit="1" customWidth="1"/>
    <col min="10" max="10" width="13.7265625" bestFit="1" customWidth="1"/>
    <col min="11" max="11" width="10.54296875" customWidth="1"/>
    <col min="12" max="12" width="16.453125" bestFit="1" customWidth="1"/>
    <col min="13" max="13" width="13.6328125" customWidth="1"/>
  </cols>
  <sheetData>
    <row r="1" spans="2:12" ht="15" thickBot="1" x14ac:dyDescent="0.4"/>
    <row r="2" spans="2:12" x14ac:dyDescent="0.35">
      <c r="B2" s="20" t="s">
        <v>9</v>
      </c>
      <c r="C2" s="24" t="s">
        <v>50</v>
      </c>
    </row>
    <row r="3" spans="2:12" x14ac:dyDescent="0.35">
      <c r="B3" s="21" t="s">
        <v>10</v>
      </c>
      <c r="C3" s="25" t="s">
        <v>27</v>
      </c>
    </row>
    <row r="4" spans="2:12" ht="76.5" customHeight="1" x14ac:dyDescent="0.35">
      <c r="B4" s="29" t="s">
        <v>11</v>
      </c>
      <c r="C4" s="31" t="s">
        <v>400</v>
      </c>
    </row>
    <row r="5" spans="2:12" x14ac:dyDescent="0.35">
      <c r="B5" s="21" t="s">
        <v>12</v>
      </c>
      <c r="C5" s="25" t="s">
        <v>36</v>
      </c>
    </row>
    <row r="6" spans="2:12" x14ac:dyDescent="0.35">
      <c r="B6" s="21" t="s">
        <v>13</v>
      </c>
      <c r="C6" s="25" t="s">
        <v>138</v>
      </c>
    </row>
    <row r="7" spans="2:12" x14ac:dyDescent="0.35">
      <c r="B7" s="21" t="s">
        <v>14</v>
      </c>
      <c r="C7" s="25" t="s">
        <v>139</v>
      </c>
    </row>
    <row r="8" spans="2:12" x14ac:dyDescent="0.35">
      <c r="B8" s="21" t="s">
        <v>31</v>
      </c>
      <c r="C8" s="25" t="s">
        <v>51</v>
      </c>
    </row>
    <row r="9" spans="2:12" ht="15" thickBot="1" x14ac:dyDescent="0.4">
      <c r="B9" s="22" t="s">
        <v>32</v>
      </c>
      <c r="C9" s="26" t="s">
        <v>140</v>
      </c>
    </row>
    <row r="10" spans="2:12" ht="15" thickBot="1" x14ac:dyDescent="0.4">
      <c r="C10" s="23"/>
    </row>
    <row r="11" spans="2:12" ht="15" thickBot="1" x14ac:dyDescent="0.4">
      <c r="C11" s="23"/>
      <c r="E11" s="111" t="s">
        <v>15</v>
      </c>
      <c r="F11" s="112"/>
      <c r="G11" s="113"/>
      <c r="J11" s="111" t="s">
        <v>16</v>
      </c>
      <c r="K11" s="112"/>
      <c r="L11" s="113"/>
    </row>
    <row r="12" spans="2:12" ht="15" thickBot="1" x14ac:dyDescent="0.4">
      <c r="C12" s="23"/>
      <c r="E12" s="14" t="s">
        <v>0</v>
      </c>
      <c r="F12" s="12" t="s">
        <v>1</v>
      </c>
      <c r="G12" s="14" t="s">
        <v>2</v>
      </c>
      <c r="J12" s="14" t="s">
        <v>0</v>
      </c>
      <c r="K12" s="12" t="s">
        <v>1</v>
      </c>
      <c r="L12" s="14" t="s">
        <v>24</v>
      </c>
    </row>
    <row r="13" spans="2:12" x14ac:dyDescent="0.35">
      <c r="C13" s="23"/>
      <c r="E13" s="4" t="s">
        <v>52</v>
      </c>
      <c r="F13" s="8">
        <v>576</v>
      </c>
      <c r="G13" s="4" t="s">
        <v>21</v>
      </c>
      <c r="J13" s="4" t="s">
        <v>53</v>
      </c>
      <c r="K13" s="8">
        <f>288-K14-K15-K16-K17-K18-K19-K20-K21</f>
        <v>1.2333333333333294</v>
      </c>
      <c r="L13" s="4" t="s">
        <v>8</v>
      </c>
    </row>
    <row r="14" spans="2:12" x14ac:dyDescent="0.35">
      <c r="C14" s="23"/>
      <c r="E14" s="2" t="s">
        <v>19</v>
      </c>
      <c r="F14" s="9">
        <v>576</v>
      </c>
      <c r="G14" s="4" t="s">
        <v>22</v>
      </c>
      <c r="J14" s="4" t="s">
        <v>53</v>
      </c>
      <c r="K14" s="9">
        <v>18</v>
      </c>
      <c r="L14" s="2" t="s">
        <v>81</v>
      </c>
    </row>
    <row r="15" spans="2:12" x14ac:dyDescent="0.35">
      <c r="C15" s="23"/>
      <c r="E15" s="2"/>
      <c r="F15" s="9"/>
      <c r="G15" s="2"/>
      <c r="J15" s="4" t="s">
        <v>53</v>
      </c>
      <c r="K15" s="9">
        <v>18</v>
      </c>
      <c r="L15" s="2" t="s">
        <v>90</v>
      </c>
    </row>
    <row r="16" spans="2:12" x14ac:dyDescent="0.35">
      <c r="C16" s="23"/>
      <c r="E16" s="2"/>
      <c r="F16" s="9"/>
      <c r="G16" s="2"/>
      <c r="J16" s="4" t="s">
        <v>53</v>
      </c>
      <c r="K16" s="9">
        <f>158+1/3</f>
        <v>158.33333333333334</v>
      </c>
      <c r="L16" s="2" t="s">
        <v>146</v>
      </c>
    </row>
    <row r="17" spans="3:12" x14ac:dyDescent="0.35">
      <c r="C17" s="23"/>
      <c r="E17" s="2"/>
      <c r="F17" s="9"/>
      <c r="G17" s="2"/>
      <c r="J17" s="4" t="s">
        <v>53</v>
      </c>
      <c r="K17" s="9">
        <v>9.6</v>
      </c>
      <c r="L17" s="2" t="s">
        <v>169</v>
      </c>
    </row>
    <row r="18" spans="3:12" x14ac:dyDescent="0.35">
      <c r="C18" s="23"/>
      <c r="E18" s="2"/>
      <c r="F18" s="9"/>
      <c r="G18" s="2"/>
      <c r="J18" s="4" t="s">
        <v>53</v>
      </c>
      <c r="K18" s="9">
        <v>72</v>
      </c>
      <c r="L18" s="2" t="s">
        <v>199</v>
      </c>
    </row>
    <row r="19" spans="3:12" x14ac:dyDescent="0.35">
      <c r="C19" s="23"/>
      <c r="E19" s="2"/>
      <c r="F19" s="9"/>
      <c r="G19" s="2"/>
      <c r="J19" s="4" t="s">
        <v>53</v>
      </c>
      <c r="K19" s="9">
        <v>5</v>
      </c>
      <c r="L19" s="2" t="s">
        <v>216</v>
      </c>
    </row>
    <row r="20" spans="3:12" x14ac:dyDescent="0.35">
      <c r="C20" s="23"/>
      <c r="E20" s="2"/>
      <c r="F20" s="9"/>
      <c r="G20" s="2"/>
      <c r="J20" s="2" t="s">
        <v>53</v>
      </c>
      <c r="K20" s="9">
        <v>2.5</v>
      </c>
      <c r="L20" s="2" t="s">
        <v>246</v>
      </c>
    </row>
    <row r="21" spans="3:12" x14ac:dyDescent="0.35">
      <c r="C21" s="23"/>
      <c r="E21" s="2"/>
      <c r="F21" s="9"/>
      <c r="G21" s="2"/>
      <c r="J21" s="2" t="s">
        <v>53</v>
      </c>
      <c r="K21" s="9">
        <f>3+1/3</f>
        <v>3.3333333333333335</v>
      </c>
      <c r="L21" s="2" t="s">
        <v>397</v>
      </c>
    </row>
    <row r="22" spans="3:12" x14ac:dyDescent="0.35">
      <c r="C22" s="23"/>
      <c r="E22" s="2"/>
      <c r="F22" s="9"/>
      <c r="G22" s="2"/>
      <c r="J22" s="2"/>
      <c r="K22" s="9"/>
      <c r="L22" s="2"/>
    </row>
    <row r="23" spans="3:12" x14ac:dyDescent="0.35">
      <c r="C23" s="23"/>
      <c r="E23" s="2"/>
      <c r="F23" s="9"/>
      <c r="G23" s="2"/>
      <c r="J23" s="2"/>
      <c r="K23" s="9"/>
      <c r="L23" s="2"/>
    </row>
    <row r="24" spans="3:12" x14ac:dyDescent="0.35">
      <c r="C24" s="23"/>
      <c r="E24" s="2"/>
      <c r="F24" s="9"/>
      <c r="G24" s="2"/>
      <c r="J24" s="2"/>
      <c r="K24" s="9"/>
      <c r="L24" s="2"/>
    </row>
    <row r="25" spans="3:12" x14ac:dyDescent="0.35">
      <c r="C25" s="23"/>
      <c r="E25" s="2"/>
      <c r="F25" s="9"/>
      <c r="G25" s="2"/>
      <c r="J25" s="2"/>
      <c r="K25" s="9"/>
      <c r="L25" s="2"/>
    </row>
    <row r="26" spans="3:12" x14ac:dyDescent="0.35">
      <c r="C26" s="23"/>
      <c r="E26" s="2"/>
      <c r="F26" s="9"/>
      <c r="G26" s="2"/>
      <c r="J26" s="2"/>
      <c r="K26" s="9"/>
      <c r="L26" s="2"/>
    </row>
    <row r="27" spans="3:12" x14ac:dyDescent="0.35">
      <c r="C27" s="23"/>
      <c r="E27" s="2"/>
      <c r="F27" s="9"/>
      <c r="G27" s="2"/>
      <c r="J27" s="2"/>
      <c r="K27" s="9"/>
      <c r="L27" s="2"/>
    </row>
    <row r="28" spans="3:12" x14ac:dyDescent="0.35">
      <c r="C28" s="23"/>
      <c r="E28" s="2"/>
      <c r="F28" s="9"/>
      <c r="G28" s="2"/>
      <c r="J28" s="2"/>
      <c r="K28" s="9"/>
      <c r="L28" s="2"/>
    </row>
    <row r="29" spans="3:12" x14ac:dyDescent="0.35">
      <c r="C29" s="23"/>
      <c r="E29" s="2"/>
      <c r="F29" s="9"/>
      <c r="G29" s="2"/>
      <c r="J29" s="2"/>
      <c r="K29" s="9"/>
      <c r="L29" s="2"/>
    </row>
    <row r="30" spans="3:12" x14ac:dyDescent="0.35">
      <c r="C30" s="23"/>
      <c r="E30" s="2"/>
      <c r="F30" s="9"/>
      <c r="G30" s="2"/>
      <c r="J30" s="2"/>
      <c r="K30" s="9"/>
      <c r="L30" s="2"/>
    </row>
    <row r="31" spans="3:12" x14ac:dyDescent="0.35">
      <c r="C31" s="23"/>
      <c r="E31" s="2"/>
      <c r="F31" s="9"/>
      <c r="G31" s="2"/>
      <c r="J31" s="2"/>
      <c r="K31" s="9"/>
      <c r="L31" s="2"/>
    </row>
    <row r="32" spans="3:12" x14ac:dyDescent="0.35">
      <c r="C32" s="23"/>
      <c r="E32" s="2"/>
      <c r="F32" s="9"/>
      <c r="G32" s="2"/>
      <c r="J32" s="2"/>
      <c r="K32" s="9"/>
      <c r="L32" s="2"/>
    </row>
    <row r="33" spans="3:12" x14ac:dyDescent="0.35">
      <c r="C33" s="23"/>
      <c r="E33" s="2"/>
      <c r="F33" s="9"/>
      <c r="G33" s="2"/>
      <c r="J33" s="2"/>
      <c r="K33" s="9"/>
      <c r="L33" s="2"/>
    </row>
    <row r="34" spans="3:12" x14ac:dyDescent="0.35">
      <c r="C34" s="23"/>
      <c r="E34" s="2"/>
      <c r="F34" s="9"/>
      <c r="G34" s="2"/>
      <c r="J34" s="2"/>
      <c r="K34" s="9"/>
      <c r="L34" s="2"/>
    </row>
    <row r="35" spans="3:12" x14ac:dyDescent="0.35">
      <c r="C35" s="23"/>
      <c r="E35" s="2"/>
      <c r="F35" s="9"/>
      <c r="G35" s="2"/>
      <c r="J35" s="2"/>
      <c r="K35" s="9"/>
      <c r="L35" s="2"/>
    </row>
    <row r="36" spans="3:12" x14ac:dyDescent="0.35">
      <c r="C36" s="23"/>
      <c r="E36" s="2"/>
      <c r="F36" s="9"/>
      <c r="G36" s="2"/>
      <c r="J36" s="2"/>
      <c r="K36" s="9"/>
      <c r="L36" s="2"/>
    </row>
    <row r="37" spans="3:12" x14ac:dyDescent="0.35">
      <c r="E37" s="2"/>
      <c r="F37" s="9"/>
      <c r="G37" s="2"/>
      <c r="J37" s="2"/>
      <c r="K37" s="9"/>
      <c r="L37" s="2"/>
    </row>
    <row r="38" spans="3:12" x14ac:dyDescent="0.35">
      <c r="E38" s="2"/>
      <c r="F38" s="9"/>
      <c r="G38" s="2"/>
      <c r="J38" s="2"/>
      <c r="K38" s="9"/>
      <c r="L38" s="2"/>
    </row>
    <row r="39" spans="3:12" x14ac:dyDescent="0.35">
      <c r="E39" s="2"/>
      <c r="F39" s="9"/>
      <c r="G39" s="2"/>
      <c r="J39" s="2"/>
      <c r="K39" s="9"/>
      <c r="L39" s="2"/>
    </row>
    <row r="40" spans="3:12" x14ac:dyDescent="0.35">
      <c r="E40" s="2"/>
      <c r="F40" s="9"/>
      <c r="G40" s="2"/>
      <c r="J40" s="2"/>
      <c r="K40" s="9"/>
      <c r="L40" s="2"/>
    </row>
    <row r="41" spans="3:12" x14ac:dyDescent="0.35">
      <c r="E41" s="2"/>
      <c r="F41" s="9"/>
      <c r="G41" s="2"/>
      <c r="J41" s="2"/>
      <c r="K41" s="9"/>
      <c r="L41" s="2"/>
    </row>
    <row r="42" spans="3:12" x14ac:dyDescent="0.35">
      <c r="E42" s="2"/>
      <c r="F42" s="9"/>
      <c r="G42" s="2"/>
      <c r="J42" s="2"/>
      <c r="K42" s="9"/>
      <c r="L42" s="2"/>
    </row>
    <row r="43" spans="3:12" x14ac:dyDescent="0.35">
      <c r="E43" s="2"/>
      <c r="F43" s="9"/>
      <c r="G43" s="2"/>
      <c r="J43" s="2"/>
      <c r="K43" s="9"/>
      <c r="L43" s="2"/>
    </row>
    <row r="44" spans="3:12" x14ac:dyDescent="0.35">
      <c r="E44" s="2"/>
      <c r="F44" s="9"/>
      <c r="G44" s="2"/>
      <c r="J44" s="2"/>
      <c r="K44" s="9"/>
      <c r="L44" s="2"/>
    </row>
    <row r="45" spans="3:12" ht="15" thickBot="1" x14ac:dyDescent="0.4">
      <c r="E45" s="3"/>
      <c r="F45" s="10"/>
      <c r="G45" s="3"/>
      <c r="J45" s="3"/>
      <c r="K45" s="10"/>
      <c r="L45" s="3"/>
    </row>
  </sheetData>
  <mergeCells count="2">
    <mergeCell ref="E11:G11"/>
    <mergeCell ref="J11:L1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23EB3-FE0B-4D28-A04E-DA4ABD2C8717}">
  <dimension ref="B1:T45"/>
  <sheetViews>
    <sheetView topLeftCell="E1" zoomScale="70" zoomScaleNormal="70" workbookViewId="0">
      <selection activeCell="O39" sqref="O39"/>
    </sheetView>
  </sheetViews>
  <sheetFormatPr defaultRowHeight="14.5" x14ac:dyDescent="0.35"/>
  <cols>
    <col min="2" max="2" width="17.81640625" bestFit="1" customWidth="1"/>
    <col min="3" max="3" width="37.36328125" customWidth="1"/>
    <col min="5" max="5" width="10.08984375" customWidth="1"/>
    <col min="6" max="6" width="7.36328125" bestFit="1" customWidth="1"/>
    <col min="7" max="7" width="13.54296875" bestFit="1" customWidth="1"/>
    <col min="10" max="10" width="12.81640625" bestFit="1" customWidth="1"/>
    <col min="11" max="11" width="16.54296875" customWidth="1"/>
    <col min="12" max="12" width="27.6328125" bestFit="1" customWidth="1"/>
    <col min="13" max="13" width="27.6328125" customWidth="1"/>
    <col min="15" max="15" width="18.08984375" customWidth="1"/>
    <col min="23" max="24" width="19.7265625" customWidth="1"/>
  </cols>
  <sheetData>
    <row r="1" spans="2:20" ht="15" thickBot="1" x14ac:dyDescent="0.4"/>
    <row r="2" spans="2:20" x14ac:dyDescent="0.35">
      <c r="B2" s="20" t="s">
        <v>9</v>
      </c>
      <c r="C2" s="24" t="s">
        <v>44</v>
      </c>
    </row>
    <row r="3" spans="2:20" x14ac:dyDescent="0.35">
      <c r="B3" s="21" t="s">
        <v>10</v>
      </c>
      <c r="C3" s="25" t="s">
        <v>27</v>
      </c>
    </row>
    <row r="4" spans="2:20" ht="65" customHeight="1" x14ac:dyDescent="0.35">
      <c r="B4" s="29" t="s">
        <v>11</v>
      </c>
      <c r="C4" s="31" t="s">
        <v>256</v>
      </c>
    </row>
    <row r="5" spans="2:20" x14ac:dyDescent="0.35">
      <c r="B5" s="21" t="s">
        <v>12</v>
      </c>
      <c r="C5" s="25" t="s">
        <v>36</v>
      </c>
    </row>
    <row r="6" spans="2:20" x14ac:dyDescent="0.35">
      <c r="B6" s="21" t="s">
        <v>13</v>
      </c>
      <c r="C6" s="25" t="s">
        <v>45</v>
      </c>
    </row>
    <row r="7" spans="2:20" x14ac:dyDescent="0.35">
      <c r="B7" s="21" t="s">
        <v>14</v>
      </c>
      <c r="C7" s="25" t="s">
        <v>46</v>
      </c>
    </row>
    <row r="8" spans="2:20" x14ac:dyDescent="0.35">
      <c r="B8" s="21" t="s">
        <v>31</v>
      </c>
      <c r="C8" s="25" t="s">
        <v>47</v>
      </c>
    </row>
    <row r="9" spans="2:20" ht="15" thickBot="1" x14ac:dyDescent="0.4">
      <c r="B9" s="22" t="s">
        <v>32</v>
      </c>
      <c r="C9" s="26" t="s">
        <v>48</v>
      </c>
    </row>
    <row r="10" spans="2:20" ht="15" thickBot="1" x14ac:dyDescent="0.4">
      <c r="C10" s="23"/>
    </row>
    <row r="11" spans="2:20" ht="15" thickBot="1" x14ac:dyDescent="0.4">
      <c r="C11" s="23"/>
      <c r="E11" s="111" t="s">
        <v>15</v>
      </c>
      <c r="F11" s="112"/>
      <c r="G11" s="113"/>
      <c r="J11" s="111" t="s">
        <v>16</v>
      </c>
      <c r="K11" s="112"/>
      <c r="L11" s="112"/>
      <c r="M11" s="113"/>
    </row>
    <row r="12" spans="2:20" ht="15" thickBot="1" x14ac:dyDescent="0.4">
      <c r="C12" s="23"/>
      <c r="E12" s="14" t="s">
        <v>0</v>
      </c>
      <c r="F12" s="12" t="s">
        <v>1</v>
      </c>
      <c r="G12" s="14" t="s">
        <v>2</v>
      </c>
      <c r="J12" s="32" t="s">
        <v>0</v>
      </c>
      <c r="K12" s="33" t="s">
        <v>1</v>
      </c>
      <c r="L12" s="32" t="s">
        <v>24</v>
      </c>
      <c r="M12" s="34" t="s">
        <v>112</v>
      </c>
      <c r="O12" s="114" t="s">
        <v>93</v>
      </c>
      <c r="P12" s="114"/>
      <c r="Q12" s="114"/>
      <c r="R12" s="114"/>
      <c r="S12" s="114"/>
      <c r="T12" s="114"/>
    </row>
    <row r="13" spans="2:20" x14ac:dyDescent="0.35">
      <c r="C13" s="23"/>
      <c r="E13" s="4" t="s">
        <v>49</v>
      </c>
      <c r="F13" s="8">
        <v>900</v>
      </c>
      <c r="G13" s="4" t="s">
        <v>21</v>
      </c>
      <c r="J13" s="4" t="s">
        <v>43</v>
      </c>
      <c r="K13" s="8">
        <f>2250-K14-K15-K16-K17-K18-K19-K20</f>
        <v>99.690888888888594</v>
      </c>
      <c r="L13" s="5" t="s">
        <v>25</v>
      </c>
      <c r="M13" s="19"/>
      <c r="O13" s="114"/>
      <c r="P13" s="114"/>
      <c r="Q13" s="114"/>
      <c r="R13" s="114"/>
      <c r="S13" s="114"/>
      <c r="T13" s="114"/>
    </row>
    <row r="14" spans="2:20" x14ac:dyDescent="0.35">
      <c r="C14" s="23"/>
      <c r="E14" s="2" t="s">
        <v>19</v>
      </c>
      <c r="F14" s="9">
        <v>600</v>
      </c>
      <c r="G14" s="4" t="s">
        <v>22</v>
      </c>
      <c r="J14" s="4" t="s">
        <v>43</v>
      </c>
      <c r="K14" s="9">
        <v>142.5</v>
      </c>
      <c r="L14" s="6" t="s">
        <v>81</v>
      </c>
      <c r="M14" s="2" t="s">
        <v>114</v>
      </c>
      <c r="O14" s="114"/>
      <c r="P14" s="114"/>
      <c r="Q14" s="114"/>
      <c r="R14" s="114"/>
      <c r="S14" s="114"/>
      <c r="T14" s="114"/>
    </row>
    <row r="15" spans="2:20" x14ac:dyDescent="0.35">
      <c r="C15" s="23"/>
      <c r="E15" s="2"/>
      <c r="F15" s="9"/>
      <c r="G15" s="2"/>
      <c r="J15" s="4" t="s">
        <v>43</v>
      </c>
      <c r="K15" s="9">
        <v>104.65</v>
      </c>
      <c r="L15" s="6" t="s">
        <v>90</v>
      </c>
      <c r="M15" s="2" t="s">
        <v>114</v>
      </c>
      <c r="O15" s="114"/>
      <c r="P15" s="114"/>
      <c r="Q15" s="114"/>
      <c r="R15" s="114"/>
      <c r="S15" s="114"/>
      <c r="T15" s="114"/>
    </row>
    <row r="16" spans="2:20" x14ac:dyDescent="0.35">
      <c r="C16" s="23"/>
      <c r="E16" s="2"/>
      <c r="F16" s="9"/>
      <c r="G16" s="2"/>
      <c r="J16" s="4" t="s">
        <v>43</v>
      </c>
      <c r="K16" s="9">
        <v>113.833</v>
      </c>
      <c r="L16" s="6" t="s">
        <v>111</v>
      </c>
      <c r="M16" s="2" t="s">
        <v>113</v>
      </c>
      <c r="O16" s="114" t="s">
        <v>110</v>
      </c>
      <c r="P16" s="114"/>
      <c r="Q16" s="114"/>
      <c r="R16" s="114"/>
      <c r="S16" s="114"/>
      <c r="T16" s="114"/>
    </row>
    <row r="17" spans="3:20" x14ac:dyDescent="0.35">
      <c r="C17" s="23"/>
      <c r="E17" s="2"/>
      <c r="F17" s="9"/>
      <c r="G17" s="2"/>
      <c r="J17" s="4" t="s">
        <v>43</v>
      </c>
      <c r="K17" s="9">
        <v>246.67</v>
      </c>
      <c r="L17" s="6" t="s">
        <v>128</v>
      </c>
      <c r="M17" s="2" t="s">
        <v>129</v>
      </c>
      <c r="O17" s="114"/>
      <c r="P17" s="114"/>
      <c r="Q17" s="114"/>
      <c r="R17" s="114"/>
      <c r="S17" s="114"/>
      <c r="T17" s="114"/>
    </row>
    <row r="18" spans="3:20" x14ac:dyDescent="0.35">
      <c r="C18" s="23"/>
      <c r="E18" s="2"/>
      <c r="F18" s="9"/>
      <c r="G18" s="2"/>
      <c r="J18" s="4" t="s">
        <v>43</v>
      </c>
      <c r="K18" s="9">
        <v>1272.67</v>
      </c>
      <c r="L18" s="4" t="s">
        <v>146</v>
      </c>
      <c r="M18" s="2"/>
      <c r="O18" s="114"/>
      <c r="P18" s="114"/>
      <c r="Q18" s="114"/>
      <c r="R18" s="114"/>
      <c r="S18" s="114"/>
      <c r="T18" s="114"/>
    </row>
    <row r="19" spans="3:20" x14ac:dyDescent="0.35">
      <c r="C19" s="23"/>
      <c r="E19" s="2"/>
      <c r="F19" s="9"/>
      <c r="G19" s="2"/>
      <c r="J19" s="4" t="s">
        <v>168</v>
      </c>
      <c r="K19" s="9">
        <v>13.2</v>
      </c>
      <c r="L19" s="6" t="s">
        <v>169</v>
      </c>
      <c r="M19" s="2"/>
      <c r="O19" s="114"/>
      <c r="P19" s="114"/>
      <c r="Q19" s="114"/>
      <c r="R19" s="114"/>
      <c r="S19" s="114"/>
      <c r="T19" s="114"/>
    </row>
    <row r="20" spans="3:20" ht="14.5" customHeight="1" x14ac:dyDescent="0.35">
      <c r="C20" s="23"/>
      <c r="E20" s="2"/>
      <c r="F20" s="9"/>
      <c r="G20" s="2"/>
      <c r="J20" s="2" t="s">
        <v>43</v>
      </c>
      <c r="K20" s="9">
        <f>226.8+29+71/72</f>
        <v>256.7861111111111</v>
      </c>
      <c r="L20" s="6" t="s">
        <v>251</v>
      </c>
      <c r="M20" s="2"/>
    </row>
    <row r="21" spans="3:20" x14ac:dyDescent="0.35">
      <c r="C21" s="23"/>
      <c r="E21" s="2"/>
      <c r="F21" s="9"/>
      <c r="G21" s="2"/>
      <c r="J21" s="2"/>
      <c r="K21" s="9"/>
      <c r="L21" s="6"/>
      <c r="M21" s="2"/>
      <c r="O21" s="115" t="s">
        <v>145</v>
      </c>
      <c r="P21" s="115"/>
      <c r="Q21" s="115"/>
      <c r="R21" s="115"/>
      <c r="S21" s="115"/>
      <c r="T21" s="115"/>
    </row>
    <row r="22" spans="3:20" x14ac:dyDescent="0.35">
      <c r="C22" s="23"/>
      <c r="E22" s="2"/>
      <c r="F22" s="9"/>
      <c r="G22" s="2"/>
      <c r="J22" s="2"/>
      <c r="K22" s="9"/>
      <c r="L22" s="6"/>
      <c r="M22" s="2"/>
    </row>
    <row r="23" spans="3:20" x14ac:dyDescent="0.35">
      <c r="C23" s="23"/>
      <c r="E23" s="2"/>
      <c r="F23" s="9"/>
      <c r="G23" s="2"/>
      <c r="J23" s="2"/>
      <c r="K23" s="9"/>
      <c r="L23" s="6"/>
      <c r="M23" s="2"/>
      <c r="O23" s="114" t="s">
        <v>170</v>
      </c>
      <c r="P23" s="114"/>
      <c r="Q23" s="114"/>
      <c r="R23" s="114"/>
      <c r="S23" s="114"/>
      <c r="T23" s="114"/>
    </row>
    <row r="24" spans="3:20" x14ac:dyDescent="0.35">
      <c r="C24" s="23"/>
      <c r="E24" s="2"/>
      <c r="F24" s="9"/>
      <c r="G24" s="2"/>
      <c r="J24" s="2"/>
      <c r="K24" s="9"/>
      <c r="L24" s="6"/>
      <c r="M24" s="2"/>
      <c r="O24" s="114"/>
      <c r="P24" s="114"/>
      <c r="Q24" s="114"/>
      <c r="R24" s="114"/>
      <c r="S24" s="114"/>
      <c r="T24" s="114"/>
    </row>
    <row r="25" spans="3:20" x14ac:dyDescent="0.35">
      <c r="C25" s="23"/>
      <c r="E25" s="2"/>
      <c r="F25" s="9"/>
      <c r="G25" s="2"/>
      <c r="J25" s="2"/>
      <c r="K25" s="9"/>
      <c r="L25" s="6"/>
      <c r="M25" s="2"/>
      <c r="O25" s="114"/>
      <c r="P25" s="114"/>
      <c r="Q25" s="114"/>
      <c r="R25" s="114"/>
      <c r="S25" s="114"/>
      <c r="T25" s="114"/>
    </row>
    <row r="26" spans="3:20" x14ac:dyDescent="0.35">
      <c r="C26" s="23"/>
      <c r="E26" s="2"/>
      <c r="F26" s="9"/>
      <c r="G26" s="2"/>
      <c r="J26" s="2"/>
      <c r="K26" s="9"/>
      <c r="L26" s="6"/>
      <c r="M26" s="2"/>
      <c r="O26" s="114"/>
      <c r="P26" s="114"/>
      <c r="Q26" s="114"/>
      <c r="R26" s="114"/>
      <c r="S26" s="114"/>
      <c r="T26" s="114"/>
    </row>
    <row r="27" spans="3:20" x14ac:dyDescent="0.35">
      <c r="C27" s="23"/>
      <c r="E27" s="2"/>
      <c r="F27" s="9"/>
      <c r="G27" s="2"/>
      <c r="J27" s="2"/>
      <c r="K27" s="9"/>
      <c r="L27" s="6"/>
      <c r="M27" s="2"/>
      <c r="O27" s="114" t="s">
        <v>148</v>
      </c>
      <c r="P27" s="114"/>
      <c r="Q27" s="114"/>
      <c r="R27" s="114"/>
      <c r="S27" s="114"/>
      <c r="T27" s="114"/>
    </row>
    <row r="28" spans="3:20" x14ac:dyDescent="0.35">
      <c r="C28" s="23"/>
      <c r="E28" s="2"/>
      <c r="F28" s="9"/>
      <c r="G28" s="2"/>
      <c r="J28" s="2"/>
      <c r="K28" s="9"/>
      <c r="L28" s="6"/>
      <c r="M28" s="2"/>
      <c r="O28" s="114"/>
      <c r="P28" s="114"/>
      <c r="Q28" s="114"/>
      <c r="R28" s="114"/>
      <c r="S28" s="114"/>
      <c r="T28" s="114"/>
    </row>
    <row r="29" spans="3:20" x14ac:dyDescent="0.35">
      <c r="C29" s="23"/>
      <c r="E29" s="2"/>
      <c r="F29" s="9"/>
      <c r="G29" s="2"/>
      <c r="J29" s="2"/>
      <c r="K29" s="9"/>
      <c r="L29" s="6"/>
      <c r="M29" s="2"/>
      <c r="O29" s="114"/>
      <c r="P29" s="114"/>
      <c r="Q29" s="114"/>
      <c r="R29" s="114"/>
      <c r="S29" s="114"/>
      <c r="T29" s="114"/>
    </row>
    <row r="30" spans="3:20" x14ac:dyDescent="0.35">
      <c r="C30" s="23"/>
      <c r="E30" s="2"/>
      <c r="F30" s="9"/>
      <c r="G30" s="2"/>
      <c r="J30" s="2"/>
      <c r="K30" s="9"/>
      <c r="L30" s="6"/>
      <c r="M30" s="2"/>
      <c r="O30" s="114"/>
      <c r="P30" s="114"/>
      <c r="Q30" s="114"/>
      <c r="R30" s="114"/>
      <c r="S30" s="114"/>
      <c r="T30" s="114"/>
    </row>
    <row r="31" spans="3:20" x14ac:dyDescent="0.35">
      <c r="C31" s="23"/>
      <c r="E31" s="2"/>
      <c r="F31" s="9"/>
      <c r="G31" s="2"/>
      <c r="J31" s="2"/>
      <c r="K31" s="9"/>
      <c r="L31" s="6"/>
      <c r="M31" s="2"/>
      <c r="O31" s="114" t="s">
        <v>149</v>
      </c>
      <c r="P31" s="114"/>
      <c r="Q31" s="114"/>
      <c r="R31" s="114"/>
      <c r="S31" s="114"/>
      <c r="T31" s="114"/>
    </row>
    <row r="32" spans="3:20" x14ac:dyDescent="0.35">
      <c r="C32" s="23"/>
      <c r="E32" s="2"/>
      <c r="F32" s="9"/>
      <c r="G32" s="2"/>
      <c r="J32" s="2"/>
      <c r="K32" s="9"/>
      <c r="L32" s="6"/>
      <c r="M32" s="2"/>
      <c r="O32" s="114"/>
      <c r="P32" s="114"/>
      <c r="Q32" s="114"/>
      <c r="R32" s="114"/>
      <c r="S32" s="114"/>
      <c r="T32" s="114"/>
    </row>
    <row r="33" spans="3:20" x14ac:dyDescent="0.35">
      <c r="C33" s="23"/>
      <c r="E33" s="2"/>
      <c r="F33" s="9"/>
      <c r="G33" s="2"/>
      <c r="J33" s="2"/>
      <c r="K33" s="9"/>
      <c r="L33" s="6"/>
      <c r="M33" s="2"/>
      <c r="O33" s="114"/>
      <c r="P33" s="114"/>
      <c r="Q33" s="114"/>
      <c r="R33" s="114"/>
      <c r="S33" s="114"/>
      <c r="T33" s="114"/>
    </row>
    <row r="34" spans="3:20" x14ac:dyDescent="0.35">
      <c r="C34" s="23"/>
      <c r="E34" s="2"/>
      <c r="F34" s="9"/>
      <c r="G34" s="2"/>
      <c r="J34" s="2"/>
      <c r="K34" s="9"/>
      <c r="L34" s="6"/>
      <c r="M34" s="2"/>
      <c r="O34" s="114"/>
      <c r="P34" s="114"/>
      <c r="Q34" s="114"/>
      <c r="R34" s="114"/>
      <c r="S34" s="114"/>
      <c r="T34" s="114"/>
    </row>
    <row r="35" spans="3:20" x14ac:dyDescent="0.35">
      <c r="C35" s="23"/>
      <c r="E35" s="2"/>
      <c r="F35" s="9"/>
      <c r="G35" s="2"/>
      <c r="J35" s="2"/>
      <c r="K35" s="9"/>
      <c r="L35" s="6"/>
      <c r="M35" s="2"/>
      <c r="O35" s="114" t="s">
        <v>259</v>
      </c>
      <c r="P35" s="114"/>
      <c r="Q35" s="114"/>
      <c r="R35" s="114"/>
      <c r="S35" s="114"/>
      <c r="T35" s="114"/>
    </row>
    <row r="36" spans="3:20" x14ac:dyDescent="0.35">
      <c r="C36" s="23"/>
      <c r="E36" s="2"/>
      <c r="F36" s="9"/>
      <c r="G36" s="2"/>
      <c r="J36" s="2"/>
      <c r="K36" s="9"/>
      <c r="L36" s="6"/>
      <c r="M36" s="2"/>
      <c r="O36" s="114"/>
      <c r="P36" s="114"/>
      <c r="Q36" s="114"/>
      <c r="R36" s="114"/>
      <c r="S36" s="114"/>
      <c r="T36" s="114"/>
    </row>
    <row r="37" spans="3:20" x14ac:dyDescent="0.35">
      <c r="E37" s="2"/>
      <c r="F37" s="9"/>
      <c r="G37" s="2"/>
      <c r="J37" s="2"/>
      <c r="K37" s="9"/>
      <c r="L37" s="6"/>
      <c r="M37" s="2"/>
      <c r="O37" s="114"/>
      <c r="P37" s="114"/>
      <c r="Q37" s="114"/>
      <c r="R37" s="114"/>
      <c r="S37" s="114"/>
      <c r="T37" s="114"/>
    </row>
    <row r="38" spans="3:20" x14ac:dyDescent="0.35">
      <c r="E38" s="2"/>
      <c r="F38" s="9"/>
      <c r="G38" s="2"/>
      <c r="J38" s="2"/>
      <c r="K38" s="9"/>
      <c r="L38" s="6"/>
      <c r="M38" s="2"/>
      <c r="O38" s="114"/>
      <c r="P38" s="114"/>
      <c r="Q38" s="114"/>
      <c r="R38" s="114"/>
      <c r="S38" s="114"/>
      <c r="T38" s="114"/>
    </row>
    <row r="39" spans="3:20" x14ac:dyDescent="0.35">
      <c r="E39" s="2"/>
      <c r="F39" s="9"/>
      <c r="G39" s="2"/>
      <c r="J39" s="2"/>
      <c r="K39" s="9"/>
      <c r="L39" s="6"/>
      <c r="M39" s="2"/>
    </row>
    <row r="40" spans="3:20" x14ac:dyDescent="0.35">
      <c r="E40" s="2"/>
      <c r="F40" s="9"/>
      <c r="G40" s="2"/>
      <c r="J40" s="2"/>
      <c r="K40" s="9"/>
      <c r="L40" s="6"/>
      <c r="M40" s="2"/>
    </row>
    <row r="41" spans="3:20" x14ac:dyDescent="0.35">
      <c r="E41" s="2"/>
      <c r="F41" s="9"/>
      <c r="G41" s="2"/>
      <c r="J41" s="2"/>
      <c r="K41" s="9"/>
      <c r="L41" s="6"/>
      <c r="M41" s="2"/>
    </row>
    <row r="42" spans="3:20" x14ac:dyDescent="0.35">
      <c r="E42" s="2"/>
      <c r="F42" s="9"/>
      <c r="G42" s="2"/>
      <c r="J42" s="2"/>
      <c r="K42" s="9"/>
      <c r="L42" s="6"/>
      <c r="M42" s="2"/>
    </row>
    <row r="43" spans="3:20" x14ac:dyDescent="0.35">
      <c r="E43" s="2"/>
      <c r="F43" s="9"/>
      <c r="G43" s="2"/>
      <c r="J43" s="2"/>
      <c r="K43" s="9"/>
      <c r="L43" s="6"/>
      <c r="M43" s="2"/>
    </row>
    <row r="44" spans="3:20" x14ac:dyDescent="0.35">
      <c r="E44" s="2"/>
      <c r="F44" s="9"/>
      <c r="G44" s="2"/>
      <c r="J44" s="2"/>
      <c r="K44" s="9"/>
      <c r="L44" s="6"/>
      <c r="M44" s="2"/>
    </row>
    <row r="45" spans="3:20" ht="15" thickBot="1" x14ac:dyDescent="0.4">
      <c r="E45" s="3"/>
      <c r="F45" s="10"/>
      <c r="G45" s="3"/>
      <c r="J45" s="3"/>
      <c r="K45" s="10"/>
      <c r="L45" s="7"/>
      <c r="M45" s="3"/>
    </row>
  </sheetData>
  <mergeCells count="9">
    <mergeCell ref="O35:T38"/>
    <mergeCell ref="O27:T30"/>
    <mergeCell ref="O31:T34"/>
    <mergeCell ref="E11:G11"/>
    <mergeCell ref="O12:T15"/>
    <mergeCell ref="O16:T19"/>
    <mergeCell ref="J11:M11"/>
    <mergeCell ref="O23:T26"/>
    <mergeCell ref="O21:T2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AFFE6-32CC-4ED3-90D1-1E871DB3E098}">
  <dimension ref="B1:T49"/>
  <sheetViews>
    <sheetView topLeftCell="D1" zoomScaleNormal="100" workbookViewId="0">
      <selection activeCell="V31" sqref="V31"/>
    </sheetView>
  </sheetViews>
  <sheetFormatPr defaultRowHeight="14.5" x14ac:dyDescent="0.35"/>
  <cols>
    <col min="2" max="2" width="17.81640625" bestFit="1" customWidth="1"/>
    <col min="3" max="3" width="28" customWidth="1"/>
    <col min="5" max="5" width="9.1796875" bestFit="1" customWidth="1"/>
    <col min="6" max="6" width="7.36328125" bestFit="1" customWidth="1"/>
    <col min="7" max="7" width="13.6328125" bestFit="1" customWidth="1"/>
    <col min="10" max="10" width="10.54296875" bestFit="1" customWidth="1"/>
    <col min="11" max="11" width="15.26953125" customWidth="1"/>
    <col min="12" max="12" width="16.54296875" bestFit="1" customWidth="1"/>
    <col min="13" max="13" width="15.1796875" bestFit="1" customWidth="1"/>
    <col min="14" max="14" width="12.453125" bestFit="1" customWidth="1"/>
  </cols>
  <sheetData>
    <row r="1" spans="2:20" ht="15" thickBot="1" x14ac:dyDescent="0.4"/>
    <row r="2" spans="2:20" x14ac:dyDescent="0.35">
      <c r="B2" s="20" t="s">
        <v>9</v>
      </c>
      <c r="C2" s="24" t="s">
        <v>55</v>
      </c>
    </row>
    <row r="3" spans="2:20" x14ac:dyDescent="0.35">
      <c r="B3" s="21" t="s">
        <v>10</v>
      </c>
      <c r="C3" s="25" t="s">
        <v>33</v>
      </c>
    </row>
    <row r="4" spans="2:20" ht="46" customHeight="1" x14ac:dyDescent="0.35">
      <c r="B4" s="29" t="s">
        <v>11</v>
      </c>
      <c r="C4" s="30" t="s">
        <v>401</v>
      </c>
    </row>
    <row r="5" spans="2:20" x14ac:dyDescent="0.35">
      <c r="B5" s="21" t="s">
        <v>12</v>
      </c>
      <c r="C5" s="25" t="s">
        <v>36</v>
      </c>
    </row>
    <row r="6" spans="2:20" x14ac:dyDescent="0.35">
      <c r="B6" s="21" t="s">
        <v>13</v>
      </c>
      <c r="C6" s="25" t="s">
        <v>56</v>
      </c>
    </row>
    <row r="7" spans="2:20" x14ac:dyDescent="0.35">
      <c r="B7" s="21" t="s">
        <v>14</v>
      </c>
      <c r="C7" s="25" t="s">
        <v>57</v>
      </c>
    </row>
    <row r="8" spans="2:20" x14ac:dyDescent="0.35">
      <c r="B8" s="21" t="s">
        <v>31</v>
      </c>
      <c r="C8" s="25" t="s">
        <v>58</v>
      </c>
    </row>
    <row r="9" spans="2:20" ht="15" thickBot="1" x14ac:dyDescent="0.4">
      <c r="B9" s="22" t="s">
        <v>32</v>
      </c>
      <c r="C9" s="26" t="s">
        <v>59</v>
      </c>
    </row>
    <row r="10" spans="2:20" ht="15" thickBot="1" x14ac:dyDescent="0.4">
      <c r="C10" s="23"/>
    </row>
    <row r="11" spans="2:20" ht="15" thickBot="1" x14ac:dyDescent="0.4">
      <c r="C11" s="23"/>
      <c r="E11" s="111" t="s">
        <v>15</v>
      </c>
      <c r="F11" s="112"/>
      <c r="G11" s="113"/>
      <c r="J11" s="111" t="s">
        <v>16</v>
      </c>
      <c r="K11" s="112"/>
      <c r="L11" s="112"/>
      <c r="M11" s="113"/>
    </row>
    <row r="12" spans="2:20" ht="15" customHeight="1" thickBot="1" x14ac:dyDescent="0.4">
      <c r="C12" s="23"/>
      <c r="E12" s="14" t="s">
        <v>0</v>
      </c>
      <c r="F12" s="12" t="s">
        <v>1</v>
      </c>
      <c r="G12" s="14" t="s">
        <v>2</v>
      </c>
      <c r="J12" s="32" t="s">
        <v>0</v>
      </c>
      <c r="K12" s="33" t="s">
        <v>1</v>
      </c>
      <c r="L12" s="32" t="s">
        <v>24</v>
      </c>
      <c r="M12" s="34" t="s">
        <v>253</v>
      </c>
      <c r="O12" s="114" t="s">
        <v>84</v>
      </c>
      <c r="P12" s="114"/>
      <c r="Q12" s="114"/>
      <c r="R12" s="114"/>
      <c r="S12" s="114"/>
      <c r="T12" s="114"/>
    </row>
    <row r="13" spans="2:20" x14ac:dyDescent="0.35">
      <c r="C13" s="23"/>
      <c r="E13" s="4" t="s">
        <v>41</v>
      </c>
      <c r="F13" s="8">
        <v>960</v>
      </c>
      <c r="G13" s="4" t="s">
        <v>33</v>
      </c>
      <c r="J13" s="4" t="s">
        <v>54</v>
      </c>
      <c r="K13" s="8">
        <f>1440-K14-K15-K16-K17-K18-K19-K20</f>
        <v>112.29451851851857</v>
      </c>
      <c r="L13" s="5" t="s">
        <v>25</v>
      </c>
      <c r="M13" s="19"/>
      <c r="O13" s="114"/>
      <c r="P13" s="114"/>
      <c r="Q13" s="114"/>
      <c r="R13" s="114"/>
      <c r="S13" s="114"/>
      <c r="T13" s="114"/>
    </row>
    <row r="14" spans="2:20" x14ac:dyDescent="0.35">
      <c r="C14" s="23"/>
      <c r="E14" s="2" t="s">
        <v>17</v>
      </c>
      <c r="F14" s="9">
        <v>960</v>
      </c>
      <c r="G14" s="4" t="s">
        <v>60</v>
      </c>
      <c r="J14" s="4" t="s">
        <v>54</v>
      </c>
      <c r="K14" s="9">
        <v>300</v>
      </c>
      <c r="L14" s="6" t="s">
        <v>81</v>
      </c>
      <c r="M14" s="2"/>
      <c r="O14" s="114"/>
      <c r="P14" s="114"/>
      <c r="Q14" s="114"/>
      <c r="R14" s="114"/>
      <c r="S14" s="114"/>
      <c r="T14" s="114"/>
    </row>
    <row r="15" spans="2:20" x14ac:dyDescent="0.35">
      <c r="C15" s="23"/>
      <c r="E15" s="2"/>
      <c r="F15" s="9"/>
      <c r="G15" s="2"/>
      <c r="J15" s="4" t="s">
        <v>54</v>
      </c>
      <c r="K15" s="9">
        <v>392.666</v>
      </c>
      <c r="L15" s="6" t="s">
        <v>195</v>
      </c>
      <c r="M15" s="2" t="s">
        <v>272</v>
      </c>
      <c r="O15" s="114"/>
      <c r="P15" s="114"/>
      <c r="Q15" s="114"/>
      <c r="R15" s="114"/>
      <c r="S15" s="114"/>
      <c r="T15" s="114"/>
    </row>
    <row r="16" spans="2:20" x14ac:dyDescent="0.35">
      <c r="C16" s="23"/>
      <c r="E16" s="2"/>
      <c r="F16" s="9"/>
      <c r="G16" s="2"/>
      <c r="J16" s="4" t="s">
        <v>54</v>
      </c>
      <c r="K16" s="9">
        <v>110.01</v>
      </c>
      <c r="L16" s="6" t="s">
        <v>216</v>
      </c>
      <c r="M16" s="2" t="s">
        <v>272</v>
      </c>
    </row>
    <row r="17" spans="3:20" x14ac:dyDescent="0.35">
      <c r="C17" s="23"/>
      <c r="E17" s="2"/>
      <c r="F17" s="9"/>
      <c r="G17" s="2"/>
      <c r="J17" s="4" t="s">
        <v>54</v>
      </c>
      <c r="K17" s="9">
        <v>40.887999999999998</v>
      </c>
      <c r="L17" s="6" t="s">
        <v>229</v>
      </c>
      <c r="M17" s="2" t="s">
        <v>272</v>
      </c>
    </row>
    <row r="18" spans="3:20" ht="15" thickBot="1" x14ac:dyDescent="0.4">
      <c r="C18" s="23"/>
      <c r="E18" s="2"/>
      <c r="F18" s="9"/>
      <c r="G18" s="2"/>
      <c r="J18" s="4" t="s">
        <v>54</v>
      </c>
      <c r="K18" s="9">
        <f>'Tollarian Meltdown'!V21+'Tollarian Meltdown'!V22</f>
        <v>214.07037037037037</v>
      </c>
      <c r="L18" s="6" t="s">
        <v>251</v>
      </c>
      <c r="M18" s="2" t="s">
        <v>254</v>
      </c>
    </row>
    <row r="19" spans="3:20" ht="15" thickBot="1" x14ac:dyDescent="0.4">
      <c r="C19" s="23"/>
      <c r="E19" s="2"/>
      <c r="F19" s="9"/>
      <c r="G19" s="2"/>
      <c r="J19" s="4" t="s">
        <v>54</v>
      </c>
      <c r="K19" s="9">
        <f>158+22/75</f>
        <v>158.29333333333332</v>
      </c>
      <c r="L19" s="6" t="s">
        <v>251</v>
      </c>
      <c r="M19" s="2" t="s">
        <v>272</v>
      </c>
      <c r="O19" s="125" t="s">
        <v>145</v>
      </c>
      <c r="P19" s="126"/>
      <c r="Q19" s="126"/>
      <c r="R19" s="126"/>
      <c r="S19" s="126"/>
      <c r="T19" s="127"/>
    </row>
    <row r="20" spans="3:20" x14ac:dyDescent="0.35">
      <c r="C20" s="23"/>
      <c r="E20" s="2"/>
      <c r="F20" s="9"/>
      <c r="G20" s="2"/>
      <c r="J20" s="2" t="s">
        <v>54</v>
      </c>
      <c r="K20" s="9">
        <f>111+7/9</f>
        <v>111.77777777777777</v>
      </c>
      <c r="L20" s="6" t="s">
        <v>397</v>
      </c>
      <c r="M20" s="2" t="s">
        <v>254</v>
      </c>
      <c r="O20" s="116" t="s">
        <v>402</v>
      </c>
      <c r="P20" s="117"/>
      <c r="Q20" s="117"/>
      <c r="R20" s="117"/>
      <c r="S20" s="117"/>
      <c r="T20" s="118"/>
    </row>
    <row r="21" spans="3:20" x14ac:dyDescent="0.35">
      <c r="C21" s="23"/>
      <c r="E21" s="2"/>
      <c r="F21" s="9"/>
      <c r="G21" s="2"/>
      <c r="J21" s="2"/>
      <c r="K21" s="9"/>
      <c r="L21" s="6"/>
      <c r="M21" s="2"/>
      <c r="O21" s="119"/>
      <c r="P21" s="120"/>
      <c r="Q21" s="120"/>
      <c r="R21" s="120"/>
      <c r="S21" s="120"/>
      <c r="T21" s="121"/>
    </row>
    <row r="22" spans="3:20" ht="15" thickBot="1" x14ac:dyDescent="0.4">
      <c r="C22" s="23"/>
      <c r="E22" s="2"/>
      <c r="F22" s="9"/>
      <c r="G22" s="2"/>
      <c r="J22" s="2"/>
      <c r="K22" s="9"/>
      <c r="L22" s="6"/>
      <c r="M22" s="2"/>
      <c r="O22" s="122"/>
      <c r="P22" s="123"/>
      <c r="Q22" s="123"/>
      <c r="R22" s="123"/>
      <c r="S22" s="123"/>
      <c r="T22" s="124"/>
    </row>
    <row r="23" spans="3:20" x14ac:dyDescent="0.35">
      <c r="C23" s="23"/>
      <c r="E23" s="2"/>
      <c r="F23" s="9"/>
      <c r="G23" s="2"/>
      <c r="J23" s="2"/>
      <c r="K23" s="9"/>
      <c r="L23" s="6"/>
      <c r="M23" s="2"/>
      <c r="O23" s="116" t="s">
        <v>279</v>
      </c>
      <c r="P23" s="117"/>
      <c r="Q23" s="117"/>
      <c r="R23" s="117"/>
      <c r="S23" s="117"/>
      <c r="T23" s="118"/>
    </row>
    <row r="24" spans="3:20" x14ac:dyDescent="0.35">
      <c r="C24" s="23"/>
      <c r="E24" s="2"/>
      <c r="F24" s="9"/>
      <c r="G24" s="2"/>
      <c r="J24" s="2"/>
      <c r="K24" s="9"/>
      <c r="L24" s="6"/>
      <c r="M24" s="2"/>
      <c r="O24" s="119"/>
      <c r="P24" s="120"/>
      <c r="Q24" s="120"/>
      <c r="R24" s="120"/>
      <c r="S24" s="120"/>
      <c r="T24" s="121"/>
    </row>
    <row r="25" spans="3:20" ht="15" thickBot="1" x14ac:dyDescent="0.4">
      <c r="C25" s="23"/>
      <c r="E25" s="2"/>
      <c r="F25" s="9"/>
      <c r="G25" s="2"/>
      <c r="J25" s="2"/>
      <c r="K25" s="9"/>
      <c r="L25" s="6"/>
      <c r="M25" s="2"/>
      <c r="O25" s="122"/>
      <c r="P25" s="123"/>
      <c r="Q25" s="123"/>
      <c r="R25" s="123"/>
      <c r="S25" s="123"/>
      <c r="T25" s="124"/>
    </row>
    <row r="26" spans="3:20" x14ac:dyDescent="0.35">
      <c r="C26" s="23"/>
      <c r="E26" s="2"/>
      <c r="F26" s="9"/>
      <c r="G26" s="2"/>
      <c r="J26" s="2"/>
      <c r="K26" s="9"/>
      <c r="L26" s="6"/>
      <c r="M26" s="2"/>
    </row>
    <row r="27" spans="3:20" x14ac:dyDescent="0.35">
      <c r="C27" s="23"/>
      <c r="E27" s="2"/>
      <c r="F27" s="9"/>
      <c r="G27" s="2"/>
      <c r="J27" s="2"/>
      <c r="K27" s="9"/>
      <c r="L27" s="6"/>
      <c r="M27" s="2"/>
    </row>
    <row r="28" spans="3:20" x14ac:dyDescent="0.35">
      <c r="C28" s="23"/>
      <c r="E28" s="2"/>
      <c r="F28" s="9"/>
      <c r="G28" s="2"/>
      <c r="J28" s="2"/>
      <c r="K28" s="9"/>
      <c r="L28" s="6"/>
      <c r="M28" s="2"/>
    </row>
    <row r="29" spans="3:20" x14ac:dyDescent="0.35">
      <c r="C29" s="23"/>
      <c r="E29" s="2"/>
      <c r="F29" s="9"/>
      <c r="G29" s="2"/>
      <c r="J29" s="2"/>
      <c r="K29" s="9"/>
      <c r="L29" s="6"/>
      <c r="M29" s="2"/>
    </row>
    <row r="30" spans="3:20" x14ac:dyDescent="0.35">
      <c r="C30" s="23"/>
      <c r="E30" s="2"/>
      <c r="F30" s="9"/>
      <c r="G30" s="2"/>
      <c r="J30" s="2"/>
      <c r="K30" s="9"/>
      <c r="L30" s="6"/>
      <c r="M30" s="2"/>
    </row>
    <row r="31" spans="3:20" x14ac:dyDescent="0.35">
      <c r="C31" s="23"/>
      <c r="E31" s="2"/>
      <c r="F31" s="9"/>
      <c r="G31" s="2"/>
      <c r="J31" s="2"/>
      <c r="K31" s="9"/>
      <c r="L31" s="6"/>
      <c r="M31" s="2"/>
    </row>
    <row r="32" spans="3:20" x14ac:dyDescent="0.35">
      <c r="E32" s="2"/>
      <c r="F32" s="9"/>
      <c r="G32" s="2"/>
      <c r="J32" s="2"/>
      <c r="K32" s="9"/>
      <c r="L32" s="6"/>
      <c r="M32" s="2"/>
    </row>
    <row r="33" spans="3:13" x14ac:dyDescent="0.35">
      <c r="C33" s="23"/>
      <c r="E33" s="2"/>
      <c r="F33" s="9"/>
      <c r="G33" s="2"/>
      <c r="J33" s="2"/>
      <c r="K33" s="9"/>
      <c r="L33" s="6"/>
      <c r="M33" s="2"/>
    </row>
    <row r="34" spans="3:13" x14ac:dyDescent="0.35">
      <c r="C34" s="23"/>
      <c r="E34" s="2"/>
      <c r="F34" s="9"/>
      <c r="G34" s="2"/>
      <c r="J34" s="2"/>
      <c r="K34" s="9"/>
      <c r="L34" s="6"/>
      <c r="M34" s="2"/>
    </row>
    <row r="35" spans="3:13" x14ac:dyDescent="0.35">
      <c r="C35" s="23"/>
      <c r="E35" s="2"/>
      <c r="F35" s="9"/>
      <c r="G35" s="2"/>
      <c r="J35" s="2"/>
      <c r="K35" s="9"/>
      <c r="L35" s="6"/>
      <c r="M35" s="2"/>
    </row>
    <row r="36" spans="3:13" x14ac:dyDescent="0.35">
      <c r="C36" s="23"/>
      <c r="E36" s="2"/>
      <c r="F36" s="9"/>
      <c r="G36" s="2"/>
      <c r="J36" s="2"/>
      <c r="K36" s="9"/>
      <c r="L36" s="6"/>
      <c r="M36" s="2"/>
    </row>
    <row r="37" spans="3:13" x14ac:dyDescent="0.35">
      <c r="E37" s="2"/>
      <c r="F37" s="9"/>
      <c r="G37" s="2"/>
      <c r="J37" s="2"/>
      <c r="K37" s="9"/>
      <c r="L37" s="6"/>
      <c r="M37" s="2"/>
    </row>
    <row r="38" spans="3:13" x14ac:dyDescent="0.35">
      <c r="E38" s="2"/>
      <c r="F38" s="9"/>
      <c r="G38" s="2"/>
      <c r="J38" s="2"/>
      <c r="K38" s="9"/>
      <c r="L38" s="6"/>
      <c r="M38" s="2"/>
    </row>
    <row r="39" spans="3:13" x14ac:dyDescent="0.35">
      <c r="E39" s="2"/>
      <c r="F39" s="9"/>
      <c r="G39" s="2"/>
      <c r="J39" s="2"/>
      <c r="K39" s="9"/>
      <c r="L39" s="6"/>
      <c r="M39" s="2"/>
    </row>
    <row r="40" spans="3:13" x14ac:dyDescent="0.35">
      <c r="E40" s="2"/>
      <c r="F40" s="9"/>
      <c r="G40" s="2"/>
      <c r="J40" s="2"/>
      <c r="K40" s="9"/>
      <c r="L40" s="6"/>
      <c r="M40" s="2"/>
    </row>
    <row r="41" spans="3:13" x14ac:dyDescent="0.35">
      <c r="E41" s="2"/>
      <c r="F41" s="9"/>
      <c r="G41" s="2"/>
      <c r="J41" s="2"/>
      <c r="K41" s="9"/>
      <c r="L41" s="6"/>
      <c r="M41" s="2"/>
    </row>
    <row r="42" spans="3:13" x14ac:dyDescent="0.35">
      <c r="E42" s="2"/>
      <c r="F42" s="9"/>
      <c r="G42" s="2"/>
      <c r="J42" s="2"/>
      <c r="K42" s="9"/>
      <c r="L42" s="6"/>
      <c r="M42" s="2"/>
    </row>
    <row r="43" spans="3:13" x14ac:dyDescent="0.35">
      <c r="E43" s="2"/>
      <c r="F43" s="9"/>
      <c r="G43" s="2"/>
      <c r="J43" s="2"/>
      <c r="K43" s="9"/>
      <c r="L43" s="6"/>
      <c r="M43" s="2"/>
    </row>
    <row r="44" spans="3:13" x14ac:dyDescent="0.35">
      <c r="E44" s="2"/>
      <c r="F44" s="9"/>
      <c r="G44" s="2"/>
      <c r="J44" s="2"/>
      <c r="K44" s="9"/>
      <c r="L44" s="6"/>
      <c r="M44" s="2"/>
    </row>
    <row r="45" spans="3:13" ht="15" thickBot="1" x14ac:dyDescent="0.4">
      <c r="E45" s="3"/>
      <c r="F45" s="10"/>
      <c r="G45" s="3"/>
      <c r="J45" s="3"/>
      <c r="K45" s="10"/>
      <c r="L45" s="7"/>
      <c r="M45" s="3"/>
    </row>
    <row r="49" spans="7:7" x14ac:dyDescent="0.35">
      <c r="G49" s="57"/>
    </row>
  </sheetData>
  <mergeCells count="6">
    <mergeCell ref="O20:T22"/>
    <mergeCell ref="O23:T25"/>
    <mergeCell ref="E11:G11"/>
    <mergeCell ref="O12:T15"/>
    <mergeCell ref="O19:T19"/>
    <mergeCell ref="J11:M1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5DD3A-A518-4C27-BB69-BA9A009C7B9C}">
  <dimension ref="B1:L44"/>
  <sheetViews>
    <sheetView zoomScale="70" zoomScaleNormal="70" workbookViewId="0">
      <selection activeCell="P28" sqref="P28"/>
    </sheetView>
  </sheetViews>
  <sheetFormatPr defaultRowHeight="14.5" x14ac:dyDescent="0.35"/>
  <cols>
    <col min="2" max="2" width="17.81640625" bestFit="1" customWidth="1"/>
    <col min="3" max="3" width="24.90625" customWidth="1"/>
    <col min="5" max="5" width="13.7265625" bestFit="1" customWidth="1"/>
    <col min="6" max="6" width="7.36328125" bestFit="1" customWidth="1"/>
    <col min="7" max="7" width="16" bestFit="1" customWidth="1"/>
    <col min="10" max="10" width="21.81640625" bestFit="1" customWidth="1"/>
    <col min="11" max="11" width="7.81640625" bestFit="1" customWidth="1"/>
    <col min="12" max="12" width="16.26953125" bestFit="1" customWidth="1"/>
  </cols>
  <sheetData>
    <row r="1" spans="2:12" ht="15" thickBot="1" x14ac:dyDescent="0.4"/>
    <row r="2" spans="2:12" x14ac:dyDescent="0.35">
      <c r="B2" s="20" t="s">
        <v>9</v>
      </c>
      <c r="C2" s="24" t="s">
        <v>81</v>
      </c>
    </row>
    <row r="3" spans="2:12" ht="46" customHeight="1" x14ac:dyDescent="0.35">
      <c r="B3" s="27" t="s">
        <v>10</v>
      </c>
      <c r="C3" s="28" t="s">
        <v>82</v>
      </c>
    </row>
    <row r="4" spans="2:12" x14ac:dyDescent="0.35">
      <c r="B4" s="21" t="s">
        <v>11</v>
      </c>
      <c r="C4" s="25" t="s">
        <v>27</v>
      </c>
    </row>
    <row r="5" spans="2:12" x14ac:dyDescent="0.35">
      <c r="B5" s="21" t="s">
        <v>12</v>
      </c>
      <c r="C5" s="25" t="s">
        <v>36</v>
      </c>
    </row>
    <row r="6" spans="2:12" x14ac:dyDescent="0.35">
      <c r="B6" s="21" t="s">
        <v>13</v>
      </c>
      <c r="C6" s="25" t="s">
        <v>192</v>
      </c>
    </row>
    <row r="7" spans="2:12" x14ac:dyDescent="0.35">
      <c r="B7" s="21" t="s">
        <v>14</v>
      </c>
      <c r="C7" s="25" t="s">
        <v>193</v>
      </c>
    </row>
    <row r="8" spans="2:12" x14ac:dyDescent="0.35">
      <c r="B8" s="21" t="s">
        <v>31</v>
      </c>
      <c r="C8" s="25" t="s">
        <v>83</v>
      </c>
    </row>
    <row r="9" spans="2:12" ht="15" thickBot="1" x14ac:dyDescent="0.4">
      <c r="B9" s="22" t="s">
        <v>32</v>
      </c>
      <c r="C9" s="26" t="s">
        <v>194</v>
      </c>
    </row>
    <row r="10" spans="2:12" ht="15" thickBot="1" x14ac:dyDescent="0.4">
      <c r="C10" s="23"/>
      <c r="E10" s="111" t="s">
        <v>15</v>
      </c>
      <c r="F10" s="112"/>
      <c r="G10" s="113"/>
      <c r="J10" s="111" t="s">
        <v>16</v>
      </c>
      <c r="K10" s="112"/>
      <c r="L10" s="113"/>
    </row>
    <row r="11" spans="2:12" ht="15" thickBot="1" x14ac:dyDescent="0.4">
      <c r="C11" s="23"/>
      <c r="E11" s="14" t="s">
        <v>0</v>
      </c>
      <c r="F11" s="12" t="s">
        <v>1</v>
      </c>
      <c r="G11" s="14" t="s">
        <v>2</v>
      </c>
      <c r="J11" s="14" t="s">
        <v>0</v>
      </c>
      <c r="K11" s="12" t="s">
        <v>1</v>
      </c>
      <c r="L11" s="14" t="s">
        <v>24</v>
      </c>
    </row>
    <row r="12" spans="2:12" x14ac:dyDescent="0.35">
      <c r="C12" s="23"/>
      <c r="E12" s="4" t="s">
        <v>61</v>
      </c>
      <c r="F12" s="8">
        <v>480</v>
      </c>
      <c r="G12" s="4" t="s">
        <v>60</v>
      </c>
      <c r="J12" s="4" t="s">
        <v>73</v>
      </c>
      <c r="K12" s="8">
        <v>61.6875</v>
      </c>
      <c r="L12" s="4" t="s">
        <v>8</v>
      </c>
    </row>
    <row r="13" spans="2:12" x14ac:dyDescent="0.35">
      <c r="C13" s="23"/>
      <c r="E13" s="2" t="s">
        <v>19</v>
      </c>
      <c r="F13" s="9">
        <v>422.5</v>
      </c>
      <c r="G13" s="4" t="s">
        <v>62</v>
      </c>
      <c r="J13" s="4" t="s">
        <v>66</v>
      </c>
      <c r="K13" s="9">
        <v>45</v>
      </c>
      <c r="L13" s="4" t="s">
        <v>8</v>
      </c>
    </row>
    <row r="14" spans="2:12" x14ac:dyDescent="0.35">
      <c r="C14" s="23"/>
      <c r="E14" s="2" t="s">
        <v>54</v>
      </c>
      <c r="F14" s="9">
        <v>300</v>
      </c>
      <c r="G14" s="2" t="s">
        <v>55</v>
      </c>
      <c r="J14" s="4" t="s">
        <v>76</v>
      </c>
      <c r="K14" s="9">
        <v>45</v>
      </c>
      <c r="L14" s="4" t="s">
        <v>8</v>
      </c>
    </row>
    <row r="15" spans="2:12" x14ac:dyDescent="0.35">
      <c r="C15" s="23"/>
      <c r="E15" s="2" t="s">
        <v>43</v>
      </c>
      <c r="F15" s="9">
        <v>142.5</v>
      </c>
      <c r="G15" s="2" t="s">
        <v>44</v>
      </c>
      <c r="J15" s="4" t="s">
        <v>72</v>
      </c>
      <c r="K15" s="9">
        <v>33.125</v>
      </c>
      <c r="L15" s="4" t="s">
        <v>8</v>
      </c>
    </row>
    <row r="16" spans="2:12" x14ac:dyDescent="0.35">
      <c r="C16" s="23"/>
      <c r="E16" s="2" t="s">
        <v>41</v>
      </c>
      <c r="F16" s="9">
        <v>111.25</v>
      </c>
      <c r="G16" s="2" t="s">
        <v>42</v>
      </c>
      <c r="J16" s="4" t="s">
        <v>70</v>
      </c>
      <c r="K16" s="9">
        <v>30</v>
      </c>
      <c r="L16" s="4" t="s">
        <v>8</v>
      </c>
    </row>
    <row r="17" spans="3:12" x14ac:dyDescent="0.35">
      <c r="C17" s="23"/>
      <c r="E17" s="2" t="s">
        <v>53</v>
      </c>
      <c r="F17" s="9">
        <v>18</v>
      </c>
      <c r="G17" s="2" t="s">
        <v>50</v>
      </c>
      <c r="J17" s="4" t="s">
        <v>75</v>
      </c>
      <c r="K17" s="9">
        <v>30</v>
      </c>
      <c r="L17" s="4" t="s">
        <v>8</v>
      </c>
    </row>
    <row r="18" spans="3:12" x14ac:dyDescent="0.35">
      <c r="C18" s="23"/>
      <c r="E18" s="2"/>
      <c r="F18" s="9"/>
      <c r="G18" s="2"/>
      <c r="J18" s="4" t="s">
        <v>80</v>
      </c>
      <c r="K18" s="9">
        <v>25</v>
      </c>
      <c r="L18" s="4" t="s">
        <v>8</v>
      </c>
    </row>
    <row r="19" spans="3:12" x14ac:dyDescent="0.35">
      <c r="C19" s="23"/>
      <c r="E19" s="2"/>
      <c r="F19" s="9"/>
      <c r="G19" s="2"/>
      <c r="J19" s="2" t="s">
        <v>77</v>
      </c>
      <c r="K19" s="9">
        <v>22.5</v>
      </c>
      <c r="L19" s="4" t="s">
        <v>8</v>
      </c>
    </row>
    <row r="20" spans="3:12" x14ac:dyDescent="0.35">
      <c r="C20" s="23"/>
      <c r="E20" s="2"/>
      <c r="F20" s="9"/>
      <c r="G20" s="2"/>
      <c r="J20" s="2" t="s">
        <v>78</v>
      </c>
      <c r="K20" s="9">
        <v>20.5</v>
      </c>
      <c r="L20" s="4" t="s">
        <v>8</v>
      </c>
    </row>
    <row r="21" spans="3:12" x14ac:dyDescent="0.35">
      <c r="C21" s="23"/>
      <c r="E21" s="2"/>
      <c r="F21" s="9"/>
      <c r="G21" s="2"/>
      <c r="J21" s="2" t="s">
        <v>79</v>
      </c>
      <c r="K21" s="9">
        <v>15</v>
      </c>
      <c r="L21" s="4" t="s">
        <v>8</v>
      </c>
    </row>
    <row r="22" spans="3:12" x14ac:dyDescent="0.35">
      <c r="C22" s="23"/>
      <c r="E22" s="2"/>
      <c r="F22" s="9"/>
      <c r="G22" s="2"/>
      <c r="J22" s="2" t="s">
        <v>68</v>
      </c>
      <c r="K22" s="9">
        <v>7.3125</v>
      </c>
      <c r="L22" s="4" t="s">
        <v>8</v>
      </c>
    </row>
    <row r="23" spans="3:12" x14ac:dyDescent="0.35">
      <c r="C23" s="23"/>
      <c r="E23" s="2"/>
      <c r="F23" s="9"/>
      <c r="G23" s="2"/>
      <c r="J23" s="2" t="s">
        <v>74</v>
      </c>
      <c r="K23" s="9">
        <v>7.25</v>
      </c>
      <c r="L23" s="4" t="s">
        <v>8</v>
      </c>
    </row>
    <row r="24" spans="3:12" x14ac:dyDescent="0.35">
      <c r="C24" s="23"/>
      <c r="E24" s="2"/>
      <c r="F24" s="9"/>
      <c r="G24" s="2"/>
      <c r="J24" s="2" t="s">
        <v>67</v>
      </c>
      <c r="K24" s="9">
        <v>5</v>
      </c>
      <c r="L24" s="4" t="s">
        <v>8</v>
      </c>
    </row>
    <row r="25" spans="3:12" x14ac:dyDescent="0.35">
      <c r="C25" s="23"/>
      <c r="E25" s="2"/>
      <c r="F25" s="9"/>
      <c r="G25" s="2"/>
      <c r="J25" s="2" t="s">
        <v>69</v>
      </c>
      <c r="K25" s="9">
        <v>3</v>
      </c>
      <c r="L25" s="4" t="s">
        <v>8</v>
      </c>
    </row>
    <row r="26" spans="3:12" x14ac:dyDescent="0.35">
      <c r="C26" s="23"/>
      <c r="E26" s="2"/>
      <c r="F26" s="9"/>
      <c r="G26" s="2"/>
      <c r="J26" s="2" t="s">
        <v>65</v>
      </c>
      <c r="K26" s="9">
        <v>2.5</v>
      </c>
      <c r="L26" s="4" t="s">
        <v>8</v>
      </c>
    </row>
    <row r="27" spans="3:12" x14ac:dyDescent="0.35">
      <c r="C27" s="23"/>
      <c r="E27" s="2"/>
      <c r="F27" s="9"/>
      <c r="G27" s="2"/>
      <c r="J27" s="2" t="s">
        <v>64</v>
      </c>
      <c r="K27" s="9">
        <v>2.25</v>
      </c>
      <c r="L27" s="4" t="s">
        <v>8</v>
      </c>
    </row>
    <row r="28" spans="3:12" x14ac:dyDescent="0.35">
      <c r="C28" s="23"/>
      <c r="E28" s="2"/>
      <c r="F28" s="9"/>
      <c r="G28" s="2"/>
      <c r="J28" s="2" t="s">
        <v>63</v>
      </c>
      <c r="K28" s="9">
        <v>1.4065000000000001</v>
      </c>
      <c r="L28" s="4" t="s">
        <v>8</v>
      </c>
    </row>
    <row r="29" spans="3:12" x14ac:dyDescent="0.35">
      <c r="C29" s="23"/>
      <c r="E29" s="2"/>
      <c r="F29" s="9"/>
      <c r="G29" s="2"/>
      <c r="J29" s="2" t="s">
        <v>71</v>
      </c>
      <c r="K29" s="9">
        <v>0.5</v>
      </c>
      <c r="L29" s="4" t="s">
        <v>8</v>
      </c>
    </row>
    <row r="30" spans="3:12" x14ac:dyDescent="0.35">
      <c r="C30" s="23"/>
      <c r="E30" s="2"/>
      <c r="F30" s="9"/>
      <c r="G30" s="2"/>
      <c r="J30" s="2"/>
      <c r="K30" s="9"/>
      <c r="L30" s="2"/>
    </row>
    <row r="31" spans="3:12" x14ac:dyDescent="0.35">
      <c r="C31" s="23"/>
      <c r="E31" s="2"/>
      <c r="F31" s="9"/>
      <c r="G31" s="2"/>
      <c r="J31" s="2"/>
      <c r="K31" s="9"/>
      <c r="L31" s="2"/>
    </row>
    <row r="32" spans="3:12" x14ac:dyDescent="0.35">
      <c r="C32" s="23"/>
      <c r="E32" s="2"/>
      <c r="F32" s="9"/>
      <c r="G32" s="2"/>
      <c r="J32" s="2"/>
      <c r="K32" s="9"/>
      <c r="L32" s="2"/>
    </row>
    <row r="33" spans="3:12" x14ac:dyDescent="0.35">
      <c r="C33" s="23"/>
      <c r="E33" s="2"/>
      <c r="F33" s="9"/>
      <c r="G33" s="2"/>
      <c r="J33" s="2"/>
      <c r="K33" s="9"/>
      <c r="L33" s="2"/>
    </row>
    <row r="34" spans="3:12" x14ac:dyDescent="0.35">
      <c r="C34" s="23"/>
      <c r="E34" s="2"/>
      <c r="F34" s="9"/>
      <c r="G34" s="2"/>
      <c r="J34" s="2"/>
      <c r="K34" s="9"/>
      <c r="L34" s="2"/>
    </row>
    <row r="35" spans="3:12" x14ac:dyDescent="0.35">
      <c r="C35" s="23"/>
      <c r="E35" s="2"/>
      <c r="F35" s="9"/>
      <c r="G35" s="2"/>
      <c r="J35" s="2"/>
      <c r="K35" s="9"/>
      <c r="L35" s="2"/>
    </row>
    <row r="36" spans="3:12" x14ac:dyDescent="0.35">
      <c r="C36" s="23"/>
      <c r="E36" s="2"/>
      <c r="F36" s="9"/>
      <c r="G36" s="2"/>
      <c r="J36" s="2"/>
      <c r="K36" s="9"/>
      <c r="L36" s="2"/>
    </row>
    <row r="37" spans="3:12" x14ac:dyDescent="0.35">
      <c r="E37" s="2"/>
      <c r="F37" s="9"/>
      <c r="G37" s="2"/>
      <c r="J37" s="2"/>
      <c r="K37" s="9"/>
      <c r="L37" s="2"/>
    </row>
    <row r="38" spans="3:12" x14ac:dyDescent="0.35">
      <c r="E38" s="2"/>
      <c r="F38" s="9"/>
      <c r="G38" s="2"/>
      <c r="J38" s="2"/>
      <c r="K38" s="9"/>
      <c r="L38" s="2"/>
    </row>
    <row r="39" spans="3:12" x14ac:dyDescent="0.35">
      <c r="E39" s="2"/>
      <c r="F39" s="9"/>
      <c r="G39" s="2"/>
      <c r="J39" s="2"/>
      <c r="K39" s="9"/>
      <c r="L39" s="2"/>
    </row>
    <row r="40" spans="3:12" x14ac:dyDescent="0.35">
      <c r="E40" s="2"/>
      <c r="F40" s="9"/>
      <c r="G40" s="2"/>
      <c r="J40" s="2"/>
      <c r="K40" s="9"/>
      <c r="L40" s="2"/>
    </row>
    <row r="41" spans="3:12" x14ac:dyDescent="0.35">
      <c r="E41" s="2"/>
      <c r="F41" s="9"/>
      <c r="G41" s="2"/>
      <c r="J41" s="2"/>
      <c r="K41" s="9"/>
      <c r="L41" s="2"/>
    </row>
    <row r="42" spans="3:12" x14ac:dyDescent="0.35">
      <c r="E42" s="2"/>
      <c r="F42" s="9"/>
      <c r="G42" s="2"/>
      <c r="J42" s="2"/>
      <c r="K42" s="9"/>
      <c r="L42" s="2"/>
    </row>
    <row r="43" spans="3:12" x14ac:dyDescent="0.35">
      <c r="E43" s="2"/>
      <c r="F43" s="9"/>
      <c r="G43" s="2"/>
      <c r="J43" s="2"/>
      <c r="K43" s="9"/>
      <c r="L43" s="2"/>
    </row>
    <row r="44" spans="3:12" ht="15" thickBot="1" x14ac:dyDescent="0.4">
      <c r="E44" s="3"/>
      <c r="F44" s="10"/>
      <c r="G44" s="3"/>
      <c r="J44" s="3"/>
      <c r="K44" s="10"/>
      <c r="L44" s="3"/>
    </row>
  </sheetData>
  <sortState xmlns:xlrd2="http://schemas.microsoft.com/office/spreadsheetml/2017/richdata2" ref="E12:G17">
    <sortCondition descending="1" ref="F12:F17"/>
  </sortState>
  <mergeCells count="2">
    <mergeCell ref="E10:G10"/>
    <mergeCell ref="J10:L1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A4D2D-7EB7-44FE-A97D-7046CE3D43BD}">
  <dimension ref="B1:S44"/>
  <sheetViews>
    <sheetView workbookViewId="0">
      <selection activeCell="C31" sqref="C31"/>
    </sheetView>
  </sheetViews>
  <sheetFormatPr defaultRowHeight="14.5" x14ac:dyDescent="0.35"/>
  <cols>
    <col min="2" max="2" width="17.81640625" bestFit="1" customWidth="1"/>
    <col min="3" max="3" width="28.1796875" customWidth="1"/>
    <col min="5" max="5" width="10" bestFit="1" customWidth="1"/>
    <col min="6" max="6" width="7.81640625" bestFit="1" customWidth="1"/>
    <col min="7" max="7" width="14.453125" bestFit="1" customWidth="1"/>
    <col min="10" max="10" width="13.36328125" bestFit="1" customWidth="1"/>
    <col min="11" max="11" width="9.81640625" bestFit="1" customWidth="1"/>
    <col min="12" max="12" width="16.453125" bestFit="1" customWidth="1"/>
    <col min="14" max="14" width="10.453125" customWidth="1"/>
    <col min="16" max="16" width="14" customWidth="1"/>
  </cols>
  <sheetData>
    <row r="1" spans="2:19" ht="15" thickBot="1" x14ac:dyDescent="0.4"/>
    <row r="2" spans="2:19" x14ac:dyDescent="0.35">
      <c r="B2" s="20" t="s">
        <v>9</v>
      </c>
      <c r="C2" s="24" t="s">
        <v>85</v>
      </c>
    </row>
    <row r="3" spans="2:19" x14ac:dyDescent="0.35">
      <c r="B3" s="27" t="s">
        <v>10</v>
      </c>
      <c r="C3" s="28" t="s">
        <v>27</v>
      </c>
    </row>
    <row r="4" spans="2:19" ht="45" customHeight="1" x14ac:dyDescent="0.35">
      <c r="B4" s="21" t="s">
        <v>11</v>
      </c>
      <c r="C4" s="37" t="s">
        <v>399</v>
      </c>
    </row>
    <row r="5" spans="2:19" x14ac:dyDescent="0.35">
      <c r="B5" s="21" t="s">
        <v>12</v>
      </c>
      <c r="C5" s="25" t="s">
        <v>36</v>
      </c>
    </row>
    <row r="6" spans="2:19" x14ac:dyDescent="0.35">
      <c r="B6" s="21" t="s">
        <v>13</v>
      </c>
      <c r="C6" s="25" t="s">
        <v>142</v>
      </c>
    </row>
    <row r="7" spans="2:19" x14ac:dyDescent="0.35">
      <c r="B7" s="21" t="s">
        <v>14</v>
      </c>
      <c r="C7" s="25" t="s">
        <v>143</v>
      </c>
    </row>
    <row r="8" spans="2:19" x14ac:dyDescent="0.35">
      <c r="B8" s="21" t="s">
        <v>31</v>
      </c>
      <c r="C8" s="25" t="s">
        <v>89</v>
      </c>
    </row>
    <row r="9" spans="2:19" ht="15" thickBot="1" x14ac:dyDescent="0.4">
      <c r="B9" s="22" t="s">
        <v>32</v>
      </c>
      <c r="C9" s="26" t="s">
        <v>144</v>
      </c>
    </row>
    <row r="10" spans="2:19" ht="15" thickBot="1" x14ac:dyDescent="0.4">
      <c r="C10" s="23"/>
      <c r="E10" s="111" t="s">
        <v>15</v>
      </c>
      <c r="F10" s="112"/>
      <c r="G10" s="113"/>
      <c r="J10" s="111" t="s">
        <v>16</v>
      </c>
      <c r="K10" s="112"/>
      <c r="L10" s="113"/>
    </row>
    <row r="11" spans="2:19" ht="15" thickBot="1" x14ac:dyDescent="0.4">
      <c r="C11" s="23"/>
      <c r="E11" s="14" t="s">
        <v>0</v>
      </c>
      <c r="F11" s="12" t="s">
        <v>1</v>
      </c>
      <c r="G11" s="14" t="s">
        <v>2</v>
      </c>
      <c r="J11" s="14" t="s">
        <v>0</v>
      </c>
      <c r="K11" s="12" t="s">
        <v>1</v>
      </c>
      <c r="L11" s="14" t="s">
        <v>24</v>
      </c>
    </row>
    <row r="12" spans="2:19" x14ac:dyDescent="0.35">
      <c r="C12" s="23"/>
      <c r="E12" s="4" t="s">
        <v>88</v>
      </c>
      <c r="F12" s="8">
        <v>1380</v>
      </c>
      <c r="G12" s="4" t="s">
        <v>60</v>
      </c>
      <c r="J12" s="4" t="s">
        <v>86</v>
      </c>
      <c r="K12" s="8">
        <v>26.25</v>
      </c>
      <c r="L12" s="4" t="s">
        <v>8</v>
      </c>
    </row>
    <row r="13" spans="2:19" ht="14.5" customHeight="1" x14ac:dyDescent="0.35">
      <c r="C13" s="23"/>
      <c r="E13" s="2" t="s">
        <v>61</v>
      </c>
      <c r="F13" s="9">
        <v>500</v>
      </c>
      <c r="G13" s="4" t="s">
        <v>60</v>
      </c>
      <c r="J13" s="4" t="s">
        <v>87</v>
      </c>
      <c r="K13" s="9">
        <v>19.443999999999999</v>
      </c>
      <c r="L13" s="4" t="s">
        <v>8</v>
      </c>
      <c r="N13" s="114" t="s">
        <v>91</v>
      </c>
      <c r="O13" s="114"/>
      <c r="P13" s="114"/>
      <c r="Q13" s="114"/>
      <c r="R13" s="114"/>
      <c r="S13" s="114"/>
    </row>
    <row r="14" spans="2:19" x14ac:dyDescent="0.35">
      <c r="C14" s="23"/>
      <c r="E14" s="2" t="s">
        <v>19</v>
      </c>
      <c r="F14" s="9">
        <v>600</v>
      </c>
      <c r="G14" s="4" t="s">
        <v>62</v>
      </c>
      <c r="J14" s="4" t="s">
        <v>86</v>
      </c>
      <c r="K14" s="9">
        <f>840-K12-K16-K18-K20-K21-K22-K23</f>
        <v>206.3723</v>
      </c>
      <c r="L14" s="4" t="s">
        <v>25</v>
      </c>
      <c r="N14" s="114"/>
      <c r="O14" s="114"/>
      <c r="P14" s="114"/>
      <c r="Q14" s="114"/>
      <c r="R14" s="114"/>
      <c r="S14" s="114"/>
    </row>
    <row r="15" spans="2:19" x14ac:dyDescent="0.35">
      <c r="C15" s="23"/>
      <c r="E15" s="2"/>
      <c r="F15" s="9"/>
      <c r="G15" s="2"/>
      <c r="J15" s="4" t="s">
        <v>87</v>
      </c>
      <c r="K15" s="9">
        <v>29.405550000000002</v>
      </c>
      <c r="L15" s="4" t="s">
        <v>25</v>
      </c>
      <c r="N15" s="114"/>
      <c r="O15" s="114"/>
      <c r="P15" s="114"/>
      <c r="Q15" s="114"/>
      <c r="R15" s="114"/>
      <c r="S15" s="114"/>
    </row>
    <row r="16" spans="2:19" ht="14.5" customHeight="1" x14ac:dyDescent="0.35">
      <c r="C16" s="23"/>
      <c r="E16" s="2"/>
      <c r="F16" s="9"/>
      <c r="G16" s="2"/>
      <c r="J16" s="4" t="s">
        <v>86</v>
      </c>
      <c r="K16" s="9">
        <v>54</v>
      </c>
      <c r="L16" s="86" t="s">
        <v>90</v>
      </c>
      <c r="N16" s="114"/>
      <c r="O16" s="114"/>
      <c r="P16" s="114"/>
      <c r="Q16" s="114"/>
      <c r="R16" s="114"/>
      <c r="S16" s="114"/>
    </row>
    <row r="17" spans="3:19" ht="14.5" customHeight="1" x14ac:dyDescent="0.35">
      <c r="C17" s="23"/>
      <c r="E17" s="2"/>
      <c r="F17" s="9"/>
      <c r="G17" s="2"/>
      <c r="J17" s="4" t="s">
        <v>87</v>
      </c>
      <c r="K17" s="9">
        <v>45.15</v>
      </c>
      <c r="L17" s="86" t="s">
        <v>90</v>
      </c>
      <c r="N17" s="114" t="s">
        <v>92</v>
      </c>
      <c r="O17" s="114"/>
      <c r="P17" s="114"/>
      <c r="Q17" s="114"/>
      <c r="R17" s="114"/>
      <c r="S17" s="114"/>
    </row>
    <row r="18" spans="3:19" x14ac:dyDescent="0.35">
      <c r="C18" s="23"/>
      <c r="E18" s="2"/>
      <c r="F18" s="9"/>
      <c r="G18" s="2"/>
      <c r="J18" s="4" t="s">
        <v>86</v>
      </c>
      <c r="K18" s="9">
        <v>300</v>
      </c>
      <c r="L18" s="86" t="s">
        <v>146</v>
      </c>
      <c r="N18" s="114"/>
      <c r="O18" s="114"/>
      <c r="P18" s="114"/>
      <c r="Q18" s="114"/>
      <c r="R18" s="114"/>
      <c r="S18" s="114"/>
    </row>
    <row r="19" spans="3:19" x14ac:dyDescent="0.35">
      <c r="C19" s="23"/>
      <c r="E19" s="2"/>
      <c r="F19" s="9"/>
      <c r="G19" s="2"/>
      <c r="J19" s="2" t="s">
        <v>87</v>
      </c>
      <c r="K19" s="9">
        <v>606</v>
      </c>
      <c r="L19" s="86" t="s">
        <v>146</v>
      </c>
      <c r="N19" s="114"/>
      <c r="O19" s="114"/>
      <c r="P19" s="114"/>
      <c r="Q19" s="114"/>
      <c r="R19" s="114"/>
      <c r="S19" s="114"/>
    </row>
    <row r="20" spans="3:19" x14ac:dyDescent="0.35">
      <c r="C20" s="23"/>
      <c r="E20" s="2"/>
      <c r="F20" s="9"/>
      <c r="G20" s="2"/>
      <c r="J20" s="2" t="s">
        <v>86</v>
      </c>
      <c r="K20" s="9">
        <v>15</v>
      </c>
      <c r="L20" s="86" t="s">
        <v>169</v>
      </c>
      <c r="N20" s="114"/>
      <c r="O20" s="114"/>
      <c r="P20" s="114"/>
      <c r="Q20" s="114"/>
      <c r="R20" s="114"/>
      <c r="S20" s="114"/>
    </row>
    <row r="21" spans="3:19" x14ac:dyDescent="0.35">
      <c r="C21" s="23"/>
      <c r="E21" s="2"/>
      <c r="F21" s="9"/>
      <c r="G21" s="2"/>
      <c r="J21" s="2" t="s">
        <v>86</v>
      </c>
      <c r="K21" s="9">
        <v>72</v>
      </c>
      <c r="L21" s="86" t="s">
        <v>195</v>
      </c>
    </row>
    <row r="22" spans="3:19" x14ac:dyDescent="0.35">
      <c r="C22" s="23"/>
      <c r="E22" s="2"/>
      <c r="F22" s="9"/>
      <c r="G22" s="2"/>
      <c r="J22" s="2" t="s">
        <v>86</v>
      </c>
      <c r="K22" s="9">
        <v>146.3777</v>
      </c>
      <c r="L22" s="86" t="s">
        <v>252</v>
      </c>
      <c r="N22" s="115" t="s">
        <v>145</v>
      </c>
      <c r="O22" s="115"/>
      <c r="P22" s="115"/>
      <c r="Q22" s="115"/>
      <c r="R22" s="115"/>
      <c r="S22" s="115"/>
    </row>
    <row r="23" spans="3:19" x14ac:dyDescent="0.35">
      <c r="C23" s="23"/>
      <c r="E23" s="2"/>
      <c r="F23" s="9"/>
      <c r="G23" s="2"/>
      <c r="J23" s="2" t="s">
        <v>86</v>
      </c>
      <c r="K23" s="9">
        <v>20</v>
      </c>
      <c r="L23" s="86" t="s">
        <v>397</v>
      </c>
    </row>
    <row r="24" spans="3:19" x14ac:dyDescent="0.35">
      <c r="C24" s="23"/>
      <c r="E24" s="2"/>
      <c r="F24" s="9"/>
      <c r="G24" s="2"/>
      <c r="J24" s="2"/>
      <c r="K24" s="9"/>
      <c r="L24" s="86"/>
      <c r="N24" s="114" t="s">
        <v>398</v>
      </c>
      <c r="O24" s="114"/>
      <c r="P24" s="114"/>
      <c r="Q24" s="114"/>
      <c r="R24" s="114"/>
      <c r="S24" s="114"/>
    </row>
    <row r="25" spans="3:19" x14ac:dyDescent="0.35">
      <c r="C25" s="23"/>
      <c r="E25" s="2"/>
      <c r="F25" s="9"/>
      <c r="G25" s="2"/>
      <c r="J25" s="2"/>
      <c r="K25" s="9"/>
      <c r="L25" s="86"/>
      <c r="N25" s="114"/>
      <c r="O25" s="114"/>
      <c r="P25" s="114"/>
      <c r="Q25" s="114"/>
      <c r="R25" s="114"/>
      <c r="S25" s="114"/>
    </row>
    <row r="26" spans="3:19" x14ac:dyDescent="0.35">
      <c r="C26" s="23"/>
      <c r="E26" s="2"/>
      <c r="F26" s="9"/>
      <c r="G26" s="2"/>
      <c r="J26" s="2"/>
      <c r="K26" s="9"/>
      <c r="L26" s="4"/>
      <c r="N26" s="114"/>
      <c r="O26" s="114"/>
      <c r="P26" s="114"/>
      <c r="Q26" s="114"/>
      <c r="R26" s="114"/>
      <c r="S26" s="114"/>
    </row>
    <row r="27" spans="3:19" x14ac:dyDescent="0.35">
      <c r="C27" s="23"/>
      <c r="E27" s="2"/>
      <c r="F27" s="9"/>
      <c r="G27" s="2"/>
      <c r="J27" s="2"/>
      <c r="K27" s="9"/>
      <c r="L27" s="4"/>
      <c r="N27" s="114"/>
      <c r="O27" s="114"/>
      <c r="P27" s="114"/>
      <c r="Q27" s="114"/>
      <c r="R27" s="114"/>
      <c r="S27" s="114"/>
    </row>
    <row r="28" spans="3:19" x14ac:dyDescent="0.35">
      <c r="C28" s="23"/>
      <c r="E28" s="2"/>
      <c r="F28" s="9"/>
      <c r="G28" s="2"/>
      <c r="J28" s="2"/>
      <c r="K28" s="9"/>
      <c r="L28" s="4"/>
      <c r="N28" s="114" t="s">
        <v>147</v>
      </c>
      <c r="O28" s="114"/>
      <c r="P28" s="114"/>
      <c r="Q28" s="114"/>
      <c r="R28" s="114"/>
      <c r="S28" s="114"/>
    </row>
    <row r="29" spans="3:19" x14ac:dyDescent="0.35">
      <c r="C29" s="23"/>
      <c r="E29" s="2"/>
      <c r="F29" s="9"/>
      <c r="G29" s="2"/>
      <c r="J29" s="2"/>
      <c r="K29" s="9"/>
      <c r="L29" s="4"/>
      <c r="N29" s="114"/>
      <c r="O29" s="114"/>
      <c r="P29" s="114"/>
      <c r="Q29" s="114"/>
      <c r="R29" s="114"/>
      <c r="S29" s="114"/>
    </row>
    <row r="30" spans="3:19" x14ac:dyDescent="0.35">
      <c r="C30" s="23"/>
      <c r="E30" s="2"/>
      <c r="F30" s="9"/>
      <c r="G30" s="2"/>
      <c r="J30" s="2"/>
      <c r="K30" s="9"/>
      <c r="L30" s="2"/>
      <c r="N30" s="114"/>
      <c r="O30" s="114"/>
      <c r="P30" s="114"/>
      <c r="Q30" s="114"/>
      <c r="R30" s="114"/>
      <c r="S30" s="114"/>
    </row>
    <row r="31" spans="3:19" x14ac:dyDescent="0.35">
      <c r="C31" s="23"/>
      <c r="E31" s="2"/>
      <c r="F31" s="9"/>
      <c r="G31" s="2"/>
      <c r="J31" s="2"/>
      <c r="K31" s="9"/>
      <c r="L31" s="2"/>
      <c r="N31" s="114"/>
      <c r="O31" s="114"/>
      <c r="P31" s="114"/>
      <c r="Q31" s="114"/>
      <c r="R31" s="114"/>
      <c r="S31" s="114"/>
    </row>
    <row r="32" spans="3:19" x14ac:dyDescent="0.35">
      <c r="C32" s="23"/>
      <c r="E32" s="2"/>
      <c r="F32" s="9"/>
      <c r="G32" s="2"/>
      <c r="J32" s="2"/>
      <c r="K32" s="9"/>
      <c r="L32" s="2"/>
    </row>
    <row r="33" spans="3:12" x14ac:dyDescent="0.35">
      <c r="C33" s="23"/>
      <c r="E33" s="2"/>
      <c r="F33" s="9"/>
      <c r="G33" s="2"/>
      <c r="J33" s="2"/>
      <c r="K33" s="9"/>
      <c r="L33" s="2"/>
    </row>
    <row r="34" spans="3:12" x14ac:dyDescent="0.35">
      <c r="C34" s="23"/>
      <c r="E34" s="2"/>
      <c r="F34" s="9"/>
      <c r="G34" s="2"/>
      <c r="J34" s="2"/>
      <c r="K34" s="9"/>
      <c r="L34" s="2"/>
    </row>
    <row r="35" spans="3:12" x14ac:dyDescent="0.35">
      <c r="C35" s="23"/>
      <c r="E35" s="2"/>
      <c r="F35" s="9"/>
      <c r="G35" s="2"/>
      <c r="J35" s="2"/>
      <c r="K35" s="9"/>
      <c r="L35" s="2"/>
    </row>
    <row r="36" spans="3:12" x14ac:dyDescent="0.35">
      <c r="C36" s="23"/>
      <c r="E36" s="2"/>
      <c r="F36" s="9"/>
      <c r="G36" s="2"/>
      <c r="J36" s="2"/>
      <c r="K36" s="9"/>
      <c r="L36" s="2"/>
    </row>
    <row r="37" spans="3:12" x14ac:dyDescent="0.35">
      <c r="E37" s="2"/>
      <c r="F37" s="9"/>
      <c r="G37" s="2"/>
      <c r="J37" s="2"/>
      <c r="K37" s="9"/>
      <c r="L37" s="2"/>
    </row>
    <row r="38" spans="3:12" x14ac:dyDescent="0.35">
      <c r="E38" s="2"/>
      <c r="F38" s="9"/>
      <c r="G38" s="2"/>
      <c r="J38" s="2"/>
      <c r="K38" s="9"/>
      <c r="L38" s="2"/>
    </row>
    <row r="39" spans="3:12" x14ac:dyDescent="0.35">
      <c r="E39" s="2"/>
      <c r="F39" s="9"/>
      <c r="G39" s="2"/>
      <c r="J39" s="2"/>
      <c r="K39" s="9"/>
      <c r="L39" s="2"/>
    </row>
    <row r="40" spans="3:12" x14ac:dyDescent="0.35">
      <c r="E40" s="2"/>
      <c r="F40" s="9"/>
      <c r="G40" s="2"/>
      <c r="J40" s="2"/>
      <c r="K40" s="9"/>
      <c r="L40" s="2"/>
    </row>
    <row r="41" spans="3:12" x14ac:dyDescent="0.35">
      <c r="E41" s="2"/>
      <c r="F41" s="9"/>
      <c r="G41" s="2"/>
      <c r="J41" s="2"/>
      <c r="K41" s="9"/>
      <c r="L41" s="2"/>
    </row>
    <row r="42" spans="3:12" x14ac:dyDescent="0.35">
      <c r="E42" s="2"/>
      <c r="F42" s="9"/>
      <c r="G42" s="2"/>
      <c r="J42" s="2"/>
      <c r="K42" s="9"/>
      <c r="L42" s="2"/>
    </row>
    <row r="43" spans="3:12" x14ac:dyDescent="0.35">
      <c r="E43" s="2"/>
      <c r="F43" s="9"/>
      <c r="G43" s="2"/>
      <c r="J43" s="2"/>
      <c r="K43" s="9"/>
      <c r="L43" s="2"/>
    </row>
    <row r="44" spans="3:12" ht="15" thickBot="1" x14ac:dyDescent="0.4">
      <c r="E44" s="3"/>
      <c r="F44" s="10"/>
      <c r="G44" s="3"/>
      <c r="J44" s="3"/>
      <c r="K44" s="10"/>
      <c r="L44" s="3"/>
    </row>
  </sheetData>
  <mergeCells count="7">
    <mergeCell ref="N28:S31"/>
    <mergeCell ref="E10:G10"/>
    <mergeCell ref="J10:L10"/>
    <mergeCell ref="N22:S22"/>
    <mergeCell ref="N24:S27"/>
    <mergeCell ref="N13:S16"/>
    <mergeCell ref="N17:S20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53220-9795-4D3E-A3FB-8E6AD78BB38D}">
  <dimension ref="B1:L44"/>
  <sheetViews>
    <sheetView topLeftCell="B1" workbookViewId="0">
      <selection activeCell="G59" sqref="G59"/>
    </sheetView>
  </sheetViews>
  <sheetFormatPr defaultRowHeight="14.5" x14ac:dyDescent="0.35"/>
  <cols>
    <col min="2" max="2" width="17.81640625" bestFit="1" customWidth="1"/>
    <col min="3" max="3" width="16.36328125" bestFit="1" customWidth="1"/>
    <col min="5" max="5" width="13.7265625" bestFit="1" customWidth="1"/>
    <col min="6" max="6" width="7.36328125" bestFit="1" customWidth="1"/>
    <col min="7" max="7" width="14.453125" bestFit="1" customWidth="1"/>
    <col min="10" max="10" width="20.08984375" bestFit="1" customWidth="1"/>
    <col min="11" max="11" width="7.36328125" bestFit="1" customWidth="1"/>
    <col min="12" max="12" width="16.26953125" bestFit="1" customWidth="1"/>
  </cols>
  <sheetData>
    <row r="1" spans="2:12" ht="15" thickBot="1" x14ac:dyDescent="0.4"/>
    <row r="2" spans="2:12" x14ac:dyDescent="0.35">
      <c r="B2" s="20" t="s">
        <v>9</v>
      </c>
      <c r="C2" s="24" t="s">
        <v>90</v>
      </c>
    </row>
    <row r="3" spans="2:12" x14ac:dyDescent="0.35">
      <c r="B3" s="27" t="s">
        <v>10</v>
      </c>
      <c r="C3" s="28" t="s">
        <v>27</v>
      </c>
    </row>
    <row r="4" spans="2:12" x14ac:dyDescent="0.35">
      <c r="B4" s="21" t="s">
        <v>11</v>
      </c>
      <c r="C4" s="25" t="s">
        <v>27</v>
      </c>
    </row>
    <row r="5" spans="2:12" x14ac:dyDescent="0.35">
      <c r="B5" s="21" t="s">
        <v>12</v>
      </c>
      <c r="C5" s="25" t="s">
        <v>36</v>
      </c>
    </row>
    <row r="6" spans="2:12" x14ac:dyDescent="0.35">
      <c r="B6" s="21" t="s">
        <v>13</v>
      </c>
      <c r="C6" s="25" t="s">
        <v>94</v>
      </c>
    </row>
    <row r="7" spans="2:12" x14ac:dyDescent="0.35">
      <c r="B7" s="21" t="s">
        <v>14</v>
      </c>
      <c r="C7" s="25" t="s">
        <v>95</v>
      </c>
    </row>
    <row r="8" spans="2:12" x14ac:dyDescent="0.35">
      <c r="B8" s="21" t="s">
        <v>31</v>
      </c>
      <c r="C8" s="25" t="s">
        <v>96</v>
      </c>
    </row>
    <row r="9" spans="2:12" ht="15" thickBot="1" x14ac:dyDescent="0.4">
      <c r="B9" s="22" t="s">
        <v>32</v>
      </c>
      <c r="C9" s="26" t="s">
        <v>97</v>
      </c>
    </row>
    <row r="10" spans="2:12" ht="15" thickBot="1" x14ac:dyDescent="0.4">
      <c r="C10" s="23"/>
      <c r="E10" s="111" t="s">
        <v>15</v>
      </c>
      <c r="F10" s="112"/>
      <c r="G10" s="113"/>
      <c r="J10" s="111" t="s">
        <v>16</v>
      </c>
      <c r="K10" s="112"/>
      <c r="L10" s="113"/>
    </row>
    <row r="11" spans="2:12" ht="15" thickBot="1" x14ac:dyDescent="0.4">
      <c r="C11" s="23"/>
      <c r="E11" s="14" t="s">
        <v>0</v>
      </c>
      <c r="F11" s="12" t="s">
        <v>1</v>
      </c>
      <c r="G11" s="14" t="s">
        <v>2</v>
      </c>
      <c r="J11" s="14" t="s">
        <v>0</v>
      </c>
      <c r="K11" s="12" t="s">
        <v>1</v>
      </c>
      <c r="L11" s="14" t="s">
        <v>24</v>
      </c>
    </row>
    <row r="12" spans="2:12" x14ac:dyDescent="0.35">
      <c r="C12" s="23"/>
      <c r="E12" s="4" t="s">
        <v>53</v>
      </c>
      <c r="F12" s="8">
        <v>18</v>
      </c>
      <c r="G12" s="4" t="s">
        <v>50</v>
      </c>
      <c r="J12" s="4" t="s">
        <v>98</v>
      </c>
      <c r="K12" s="8">
        <v>1.5</v>
      </c>
      <c r="L12" s="4" t="s">
        <v>8</v>
      </c>
    </row>
    <row r="13" spans="2:12" x14ac:dyDescent="0.35">
      <c r="C13" s="23"/>
      <c r="E13" s="2" t="s">
        <v>41</v>
      </c>
      <c r="F13" s="9">
        <v>37.5</v>
      </c>
      <c r="G13" s="4" t="s">
        <v>33</v>
      </c>
      <c r="J13" s="4" t="s">
        <v>99</v>
      </c>
      <c r="K13" s="9">
        <v>1.5</v>
      </c>
      <c r="L13" s="4" t="s">
        <v>8</v>
      </c>
    </row>
    <row r="14" spans="2:12" x14ac:dyDescent="0.35">
      <c r="C14" s="23"/>
      <c r="E14" s="2" t="s">
        <v>19</v>
      </c>
      <c r="F14" s="9">
        <v>37.65</v>
      </c>
      <c r="G14" s="4" t="s">
        <v>62</v>
      </c>
      <c r="J14" s="4" t="s">
        <v>100</v>
      </c>
      <c r="K14" s="9">
        <v>2.25</v>
      </c>
      <c r="L14" s="4" t="s">
        <v>8</v>
      </c>
    </row>
    <row r="15" spans="2:12" x14ac:dyDescent="0.35">
      <c r="C15" s="23"/>
      <c r="E15" s="2" t="s">
        <v>87</v>
      </c>
      <c r="F15" s="9">
        <v>45.15</v>
      </c>
      <c r="G15" s="2" t="s">
        <v>85</v>
      </c>
      <c r="J15" s="4" t="s">
        <v>101</v>
      </c>
      <c r="K15" s="9">
        <v>3</v>
      </c>
      <c r="L15" s="4" t="s">
        <v>8</v>
      </c>
    </row>
    <row r="16" spans="2:12" x14ac:dyDescent="0.35">
      <c r="C16" s="23"/>
      <c r="E16" s="2" t="s">
        <v>86</v>
      </c>
      <c r="F16" s="9">
        <v>54</v>
      </c>
      <c r="G16" s="2" t="s">
        <v>85</v>
      </c>
      <c r="J16" s="4" t="s">
        <v>102</v>
      </c>
      <c r="K16" s="9">
        <v>6</v>
      </c>
      <c r="L16" s="4" t="s">
        <v>8</v>
      </c>
    </row>
    <row r="17" spans="3:12" x14ac:dyDescent="0.35">
      <c r="C17" s="23"/>
      <c r="E17" s="2" t="s">
        <v>43</v>
      </c>
      <c r="F17" s="9">
        <v>104.65</v>
      </c>
      <c r="G17" s="2" t="s">
        <v>85</v>
      </c>
      <c r="J17" s="4"/>
      <c r="K17" s="9"/>
      <c r="L17" s="4"/>
    </row>
    <row r="18" spans="3:12" x14ac:dyDescent="0.35">
      <c r="C18" s="23"/>
      <c r="E18" s="2"/>
      <c r="F18" s="9"/>
      <c r="G18" s="2"/>
      <c r="J18" s="4"/>
      <c r="K18" s="9"/>
      <c r="L18" s="4"/>
    </row>
    <row r="19" spans="3:12" x14ac:dyDescent="0.35">
      <c r="C19" s="23"/>
      <c r="E19" s="2"/>
      <c r="F19" s="9"/>
      <c r="G19" s="2"/>
      <c r="J19" s="2"/>
      <c r="K19" s="9"/>
      <c r="L19" s="4"/>
    </row>
    <row r="20" spans="3:12" x14ac:dyDescent="0.35">
      <c r="C20" s="23"/>
      <c r="E20" s="2"/>
      <c r="F20" s="9"/>
      <c r="G20" s="2"/>
      <c r="J20" s="2"/>
      <c r="K20" s="9"/>
      <c r="L20" s="4"/>
    </row>
    <row r="21" spans="3:12" x14ac:dyDescent="0.35">
      <c r="C21" s="23"/>
      <c r="E21" s="2"/>
      <c r="F21" s="9"/>
      <c r="G21" s="2"/>
      <c r="J21" s="2"/>
      <c r="K21" s="9"/>
      <c r="L21" s="4"/>
    </row>
    <row r="22" spans="3:12" x14ac:dyDescent="0.35">
      <c r="C22" s="23"/>
      <c r="E22" s="2"/>
      <c r="F22" s="9"/>
      <c r="G22" s="2"/>
      <c r="J22" s="2"/>
      <c r="K22" s="9"/>
      <c r="L22" s="4"/>
    </row>
    <row r="23" spans="3:12" x14ac:dyDescent="0.35">
      <c r="C23" s="23"/>
      <c r="E23" s="2"/>
      <c r="F23" s="9"/>
      <c r="G23" s="2"/>
      <c r="J23" s="2"/>
      <c r="K23" s="9"/>
      <c r="L23" s="4"/>
    </row>
    <row r="24" spans="3:12" x14ac:dyDescent="0.35">
      <c r="C24" s="23"/>
      <c r="E24" s="2"/>
      <c r="F24" s="9"/>
      <c r="G24" s="2"/>
      <c r="J24" s="2"/>
      <c r="K24" s="9"/>
      <c r="L24" s="4"/>
    </row>
    <row r="25" spans="3:12" x14ac:dyDescent="0.35">
      <c r="C25" s="23"/>
      <c r="E25" s="2"/>
      <c r="F25" s="9"/>
      <c r="G25" s="2"/>
      <c r="J25" s="2"/>
      <c r="K25" s="9"/>
      <c r="L25" s="4"/>
    </row>
    <row r="26" spans="3:12" x14ac:dyDescent="0.35">
      <c r="C26" s="23"/>
      <c r="E26" s="2"/>
      <c r="F26" s="9"/>
      <c r="G26" s="2"/>
      <c r="J26" s="2"/>
      <c r="K26" s="9"/>
      <c r="L26" s="4"/>
    </row>
    <row r="27" spans="3:12" x14ac:dyDescent="0.35">
      <c r="C27" s="23"/>
      <c r="E27" s="2"/>
      <c r="F27" s="9"/>
      <c r="G27" s="2"/>
      <c r="J27" s="2"/>
      <c r="K27" s="9"/>
      <c r="L27" s="4"/>
    </row>
    <row r="28" spans="3:12" x14ac:dyDescent="0.35">
      <c r="C28" s="23"/>
      <c r="E28" s="2"/>
      <c r="F28" s="9"/>
      <c r="G28" s="2"/>
      <c r="J28" s="2"/>
      <c r="K28" s="9"/>
      <c r="L28" s="4"/>
    </row>
    <row r="29" spans="3:12" x14ac:dyDescent="0.35">
      <c r="C29" s="23"/>
      <c r="E29" s="2"/>
      <c r="F29" s="9"/>
      <c r="G29" s="2"/>
      <c r="J29" s="2"/>
      <c r="K29" s="9"/>
      <c r="L29" s="4"/>
    </row>
    <row r="30" spans="3:12" x14ac:dyDescent="0.35">
      <c r="C30" s="23"/>
      <c r="E30" s="2"/>
      <c r="F30" s="9"/>
      <c r="G30" s="2"/>
      <c r="J30" s="2"/>
      <c r="K30" s="9"/>
      <c r="L30" s="2"/>
    </row>
    <row r="31" spans="3:12" x14ac:dyDescent="0.35">
      <c r="C31" s="23"/>
      <c r="E31" s="2"/>
      <c r="F31" s="9"/>
      <c r="G31" s="2"/>
      <c r="J31" s="2"/>
      <c r="K31" s="9"/>
      <c r="L31" s="2"/>
    </row>
    <row r="32" spans="3:12" x14ac:dyDescent="0.35">
      <c r="C32" s="23"/>
      <c r="E32" s="2"/>
      <c r="F32" s="9"/>
      <c r="G32" s="2"/>
      <c r="J32" s="2"/>
      <c r="K32" s="9"/>
      <c r="L32" s="2"/>
    </row>
    <row r="33" spans="3:12" x14ac:dyDescent="0.35">
      <c r="C33" s="23"/>
      <c r="E33" s="2"/>
      <c r="F33" s="9"/>
      <c r="G33" s="2"/>
      <c r="J33" s="2"/>
      <c r="K33" s="9"/>
      <c r="L33" s="2"/>
    </row>
    <row r="34" spans="3:12" x14ac:dyDescent="0.35">
      <c r="C34" s="23"/>
      <c r="E34" s="2"/>
      <c r="F34" s="9"/>
      <c r="G34" s="2"/>
      <c r="J34" s="2"/>
      <c r="K34" s="9"/>
      <c r="L34" s="2"/>
    </row>
    <row r="35" spans="3:12" x14ac:dyDescent="0.35">
      <c r="C35" s="23"/>
      <c r="E35" s="2"/>
      <c r="F35" s="9"/>
      <c r="G35" s="2"/>
      <c r="J35" s="2"/>
      <c r="K35" s="9"/>
      <c r="L35" s="2"/>
    </row>
    <row r="36" spans="3:12" x14ac:dyDescent="0.35">
      <c r="C36" s="23"/>
      <c r="E36" s="2"/>
      <c r="F36" s="9"/>
      <c r="G36" s="2"/>
      <c r="J36" s="2"/>
      <c r="K36" s="9"/>
      <c r="L36" s="2"/>
    </row>
    <row r="37" spans="3:12" x14ac:dyDescent="0.35">
      <c r="E37" s="2"/>
      <c r="F37" s="9"/>
      <c r="G37" s="2"/>
      <c r="J37" s="2"/>
      <c r="K37" s="9"/>
      <c r="L37" s="2"/>
    </row>
    <row r="38" spans="3:12" x14ac:dyDescent="0.35">
      <c r="E38" s="2"/>
      <c r="F38" s="9"/>
      <c r="G38" s="2"/>
      <c r="J38" s="2"/>
      <c r="K38" s="9"/>
      <c r="L38" s="2"/>
    </row>
    <row r="39" spans="3:12" x14ac:dyDescent="0.35">
      <c r="E39" s="2"/>
      <c r="F39" s="9"/>
      <c r="G39" s="2"/>
      <c r="J39" s="2"/>
      <c r="K39" s="9"/>
      <c r="L39" s="2"/>
    </row>
    <row r="40" spans="3:12" x14ac:dyDescent="0.35">
      <c r="E40" s="2"/>
      <c r="F40" s="9"/>
      <c r="G40" s="2"/>
      <c r="J40" s="2"/>
      <c r="K40" s="9"/>
      <c r="L40" s="2"/>
    </row>
    <row r="41" spans="3:12" x14ac:dyDescent="0.35">
      <c r="E41" s="2"/>
      <c r="F41" s="9"/>
      <c r="G41" s="2"/>
      <c r="J41" s="2"/>
      <c r="K41" s="9"/>
      <c r="L41" s="2"/>
    </row>
    <row r="42" spans="3:12" x14ac:dyDescent="0.35">
      <c r="E42" s="2"/>
      <c r="F42" s="9"/>
      <c r="G42" s="2"/>
      <c r="J42" s="2"/>
      <c r="K42" s="9"/>
      <c r="L42" s="2"/>
    </row>
    <row r="43" spans="3:12" x14ac:dyDescent="0.35">
      <c r="E43" s="2"/>
      <c r="F43" s="9"/>
      <c r="G43" s="2"/>
      <c r="J43" s="2"/>
      <c r="K43" s="9"/>
      <c r="L43" s="2"/>
    </row>
    <row r="44" spans="3:12" ht="15" thickBot="1" x14ac:dyDescent="0.4">
      <c r="E44" s="3"/>
      <c r="F44" s="10"/>
      <c r="G44" s="3"/>
      <c r="J44" s="3"/>
      <c r="K44" s="10"/>
      <c r="L44" s="3"/>
    </row>
  </sheetData>
  <mergeCells count="2">
    <mergeCell ref="E10:G10"/>
    <mergeCell ref="J10:L1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308C4-E9DD-438E-A79A-D3E0D96AB566}">
  <dimension ref="B1:L44"/>
  <sheetViews>
    <sheetView topLeftCell="A4" workbookViewId="0">
      <selection activeCell="C11" sqref="C11:C12"/>
    </sheetView>
  </sheetViews>
  <sheetFormatPr defaultRowHeight="14.5" x14ac:dyDescent="0.35"/>
  <cols>
    <col min="2" max="2" width="17.81640625" bestFit="1" customWidth="1"/>
    <col min="3" max="3" width="27" bestFit="1" customWidth="1"/>
    <col min="5" max="5" width="12" bestFit="1" customWidth="1"/>
    <col min="6" max="6" width="7.81640625" bestFit="1" customWidth="1"/>
    <col min="7" max="7" width="16" bestFit="1" customWidth="1"/>
    <col min="10" max="10" width="19" bestFit="1" customWidth="1"/>
    <col min="11" max="11" width="7.36328125" bestFit="1" customWidth="1"/>
    <col min="12" max="12" width="16.26953125" bestFit="1" customWidth="1"/>
  </cols>
  <sheetData>
    <row r="1" spans="2:12" ht="15" thickBot="1" x14ac:dyDescent="0.4"/>
    <row r="2" spans="2:12" x14ac:dyDescent="0.35">
      <c r="B2" s="20" t="s">
        <v>9</v>
      </c>
      <c r="C2" s="24" t="s">
        <v>111</v>
      </c>
    </row>
    <row r="3" spans="2:12" ht="29" x14ac:dyDescent="0.35">
      <c r="B3" s="27" t="s">
        <v>10</v>
      </c>
      <c r="C3" s="28" t="s">
        <v>123</v>
      </c>
    </row>
    <row r="4" spans="2:12" x14ac:dyDescent="0.35">
      <c r="B4" s="21" t="s">
        <v>11</v>
      </c>
      <c r="C4" s="25" t="s">
        <v>27</v>
      </c>
    </row>
    <row r="5" spans="2:12" x14ac:dyDescent="0.35">
      <c r="B5" s="21" t="s">
        <v>12</v>
      </c>
      <c r="C5" s="25" t="s">
        <v>36</v>
      </c>
    </row>
    <row r="6" spans="2:12" x14ac:dyDescent="0.35">
      <c r="B6" s="21" t="s">
        <v>13</v>
      </c>
      <c r="C6" s="25" t="s">
        <v>124</v>
      </c>
    </row>
    <row r="7" spans="2:12" x14ac:dyDescent="0.35">
      <c r="B7" s="21" t="s">
        <v>14</v>
      </c>
      <c r="C7" s="25" t="s">
        <v>125</v>
      </c>
    </row>
    <row r="8" spans="2:12" x14ac:dyDescent="0.35">
      <c r="B8" s="21" t="s">
        <v>31</v>
      </c>
      <c r="C8" s="25" t="s">
        <v>126</v>
      </c>
    </row>
    <row r="9" spans="2:12" ht="15" thickBot="1" x14ac:dyDescent="0.4">
      <c r="B9" s="22" t="s">
        <v>32</v>
      </c>
      <c r="C9" s="26" t="s">
        <v>127</v>
      </c>
    </row>
    <row r="10" spans="2:12" ht="15" thickBot="1" x14ac:dyDescent="0.4">
      <c r="C10" s="23"/>
      <c r="E10" s="111" t="s">
        <v>15</v>
      </c>
      <c r="F10" s="112"/>
      <c r="G10" s="113"/>
      <c r="J10" s="111" t="s">
        <v>16</v>
      </c>
      <c r="K10" s="112"/>
      <c r="L10" s="113"/>
    </row>
    <row r="11" spans="2:12" ht="15" thickBot="1" x14ac:dyDescent="0.4">
      <c r="C11" s="23"/>
      <c r="E11" s="14" t="s">
        <v>0</v>
      </c>
      <c r="F11" s="12" t="s">
        <v>1</v>
      </c>
      <c r="G11" s="14" t="s">
        <v>2</v>
      </c>
      <c r="J11" s="14" t="s">
        <v>0</v>
      </c>
      <c r="K11" s="12" t="s">
        <v>1</v>
      </c>
      <c r="L11" s="14" t="s">
        <v>24</v>
      </c>
    </row>
    <row r="12" spans="2:12" x14ac:dyDescent="0.35">
      <c r="C12" s="23"/>
      <c r="E12" s="4" t="s">
        <v>61</v>
      </c>
      <c r="F12" s="8">
        <v>18.75</v>
      </c>
      <c r="G12" s="4" t="s">
        <v>60</v>
      </c>
      <c r="J12" s="4" t="s">
        <v>122</v>
      </c>
      <c r="K12" s="8">
        <v>0.5</v>
      </c>
      <c r="L12" s="4" t="s">
        <v>8</v>
      </c>
    </row>
    <row r="13" spans="2:12" x14ac:dyDescent="0.35">
      <c r="C13" s="23"/>
      <c r="E13" s="2" t="s">
        <v>19</v>
      </c>
      <c r="F13" s="9">
        <v>28.625</v>
      </c>
      <c r="G13" s="4" t="s">
        <v>62</v>
      </c>
      <c r="J13" s="4" t="s">
        <v>121</v>
      </c>
      <c r="K13" s="9">
        <v>0.5</v>
      </c>
      <c r="L13" s="4" t="s">
        <v>8</v>
      </c>
    </row>
    <row r="14" spans="2:12" x14ac:dyDescent="0.35">
      <c r="C14" s="23"/>
      <c r="E14" s="2" t="s">
        <v>43</v>
      </c>
      <c r="F14" s="9">
        <v>113.833</v>
      </c>
      <c r="G14" s="2" t="s">
        <v>44</v>
      </c>
      <c r="J14" s="4"/>
      <c r="K14" s="9"/>
      <c r="L14" s="4"/>
    </row>
    <row r="15" spans="2:12" x14ac:dyDescent="0.35">
      <c r="C15" s="23"/>
      <c r="E15" s="2" t="s">
        <v>41</v>
      </c>
      <c r="F15" s="9">
        <v>234.25</v>
      </c>
      <c r="G15" s="2" t="s">
        <v>42</v>
      </c>
      <c r="J15" s="4"/>
      <c r="K15" s="9"/>
      <c r="L15" s="4"/>
    </row>
    <row r="16" spans="2:12" x14ac:dyDescent="0.35">
      <c r="C16" s="23"/>
      <c r="E16" s="2" t="s">
        <v>5</v>
      </c>
      <c r="F16" s="9">
        <v>42</v>
      </c>
      <c r="G16" s="2" t="s">
        <v>106</v>
      </c>
      <c r="J16" s="4"/>
      <c r="K16" s="9"/>
      <c r="L16" s="4"/>
    </row>
    <row r="17" spans="3:12" x14ac:dyDescent="0.35">
      <c r="C17" s="23"/>
      <c r="E17" s="2" t="s">
        <v>103</v>
      </c>
      <c r="F17" s="9">
        <v>7.5</v>
      </c>
      <c r="G17" s="2" t="s">
        <v>106</v>
      </c>
      <c r="J17" s="4"/>
      <c r="K17" s="9"/>
      <c r="L17" s="4"/>
    </row>
    <row r="18" spans="3:12" x14ac:dyDescent="0.35">
      <c r="C18" s="23"/>
      <c r="E18" s="2"/>
      <c r="F18" s="9"/>
      <c r="G18" s="2"/>
      <c r="J18" s="4"/>
      <c r="K18" s="9"/>
      <c r="L18" s="4"/>
    </row>
    <row r="19" spans="3:12" x14ac:dyDescent="0.35">
      <c r="C19" s="23"/>
      <c r="E19" s="2"/>
      <c r="F19" s="9"/>
      <c r="G19" s="2"/>
      <c r="J19" s="2"/>
      <c r="K19" s="9"/>
      <c r="L19" s="4"/>
    </row>
    <row r="20" spans="3:12" x14ac:dyDescent="0.35">
      <c r="C20" s="23"/>
      <c r="E20" s="2"/>
      <c r="F20" s="9"/>
      <c r="G20" s="2"/>
      <c r="J20" s="2"/>
      <c r="K20" s="9"/>
      <c r="L20" s="4"/>
    </row>
    <row r="21" spans="3:12" x14ac:dyDescent="0.35">
      <c r="C21" s="23"/>
      <c r="E21" s="2"/>
      <c r="F21" s="9"/>
      <c r="G21" s="2"/>
      <c r="J21" s="2"/>
      <c r="K21" s="9"/>
      <c r="L21" s="4"/>
    </row>
    <row r="22" spans="3:12" x14ac:dyDescent="0.35">
      <c r="C22" s="23"/>
      <c r="E22" s="2"/>
      <c r="F22" s="9"/>
      <c r="G22" s="2"/>
      <c r="J22" s="2"/>
      <c r="K22" s="9"/>
      <c r="L22" s="4"/>
    </row>
    <row r="23" spans="3:12" x14ac:dyDescent="0.35">
      <c r="C23" s="23"/>
      <c r="E23" s="2"/>
      <c r="F23" s="9"/>
      <c r="G23" s="2"/>
      <c r="J23" s="2"/>
      <c r="K23" s="9"/>
      <c r="L23" s="4"/>
    </row>
    <row r="24" spans="3:12" x14ac:dyDescent="0.35">
      <c r="C24" s="23"/>
      <c r="E24" s="2"/>
      <c r="F24" s="9"/>
      <c r="G24" s="2"/>
      <c r="J24" s="2"/>
      <c r="K24" s="9"/>
      <c r="L24" s="4"/>
    </row>
    <row r="25" spans="3:12" x14ac:dyDescent="0.35">
      <c r="C25" s="23"/>
      <c r="E25" s="2"/>
      <c r="F25" s="9"/>
      <c r="G25" s="2"/>
      <c r="J25" s="2"/>
      <c r="K25" s="9"/>
      <c r="L25" s="4"/>
    </row>
    <row r="26" spans="3:12" x14ac:dyDescent="0.35">
      <c r="C26" s="23"/>
      <c r="E26" s="2"/>
      <c r="F26" s="9"/>
      <c r="G26" s="2"/>
      <c r="J26" s="2"/>
      <c r="K26" s="9"/>
      <c r="L26" s="4"/>
    </row>
    <row r="27" spans="3:12" x14ac:dyDescent="0.35">
      <c r="C27" s="23"/>
      <c r="E27" s="2"/>
      <c r="F27" s="9"/>
      <c r="G27" s="2"/>
      <c r="J27" s="2"/>
      <c r="K27" s="9"/>
      <c r="L27" s="4"/>
    </row>
    <row r="28" spans="3:12" x14ac:dyDescent="0.35">
      <c r="C28" s="23"/>
      <c r="E28" s="2"/>
      <c r="F28" s="9"/>
      <c r="G28" s="2"/>
      <c r="J28" s="2"/>
      <c r="K28" s="9"/>
      <c r="L28" s="4"/>
    </row>
    <row r="29" spans="3:12" x14ac:dyDescent="0.35">
      <c r="C29" s="23"/>
      <c r="E29" s="2"/>
      <c r="F29" s="9"/>
      <c r="G29" s="2"/>
      <c r="J29" s="2"/>
      <c r="K29" s="9"/>
      <c r="L29" s="4"/>
    </row>
    <row r="30" spans="3:12" x14ac:dyDescent="0.35">
      <c r="C30" s="23"/>
      <c r="E30" s="2"/>
      <c r="F30" s="9"/>
      <c r="G30" s="2"/>
      <c r="J30" s="2"/>
      <c r="K30" s="9"/>
      <c r="L30" s="2"/>
    </row>
    <row r="31" spans="3:12" x14ac:dyDescent="0.35">
      <c r="C31" s="23"/>
      <c r="E31" s="2"/>
      <c r="F31" s="9"/>
      <c r="G31" s="2"/>
      <c r="J31" s="2"/>
      <c r="K31" s="9"/>
      <c r="L31" s="2"/>
    </row>
    <row r="32" spans="3:12" x14ac:dyDescent="0.35">
      <c r="C32" s="23"/>
      <c r="E32" s="2"/>
      <c r="F32" s="9"/>
      <c r="G32" s="2"/>
      <c r="J32" s="2"/>
      <c r="K32" s="9"/>
      <c r="L32" s="2"/>
    </row>
    <row r="33" spans="3:12" x14ac:dyDescent="0.35">
      <c r="C33" s="23"/>
      <c r="E33" s="2"/>
      <c r="F33" s="9"/>
      <c r="G33" s="2"/>
      <c r="J33" s="2"/>
      <c r="K33" s="9"/>
      <c r="L33" s="2"/>
    </row>
    <row r="34" spans="3:12" x14ac:dyDescent="0.35">
      <c r="C34" s="23"/>
      <c r="E34" s="2"/>
      <c r="F34" s="9"/>
      <c r="G34" s="2"/>
      <c r="J34" s="2"/>
      <c r="K34" s="9"/>
      <c r="L34" s="2"/>
    </row>
    <row r="35" spans="3:12" x14ac:dyDescent="0.35">
      <c r="C35" s="23"/>
      <c r="E35" s="2"/>
      <c r="F35" s="9"/>
      <c r="G35" s="2"/>
      <c r="J35" s="2"/>
      <c r="K35" s="9"/>
      <c r="L35" s="2"/>
    </row>
    <row r="36" spans="3:12" x14ac:dyDescent="0.35">
      <c r="C36" s="23"/>
      <c r="E36" s="2"/>
      <c r="F36" s="9"/>
      <c r="G36" s="2"/>
      <c r="J36" s="2"/>
      <c r="K36" s="9"/>
      <c r="L36" s="2"/>
    </row>
    <row r="37" spans="3:12" x14ac:dyDescent="0.35">
      <c r="E37" s="2"/>
      <c r="F37" s="9"/>
      <c r="G37" s="2"/>
      <c r="J37" s="2"/>
      <c r="K37" s="9"/>
      <c r="L37" s="2"/>
    </row>
    <row r="38" spans="3:12" x14ac:dyDescent="0.35">
      <c r="E38" s="2"/>
      <c r="F38" s="9"/>
      <c r="G38" s="2"/>
      <c r="J38" s="2"/>
      <c r="K38" s="9"/>
      <c r="L38" s="2"/>
    </row>
    <row r="39" spans="3:12" x14ac:dyDescent="0.35">
      <c r="E39" s="2"/>
      <c r="F39" s="9"/>
      <c r="G39" s="2"/>
      <c r="J39" s="2"/>
      <c r="K39" s="9"/>
      <c r="L39" s="2"/>
    </row>
    <row r="40" spans="3:12" x14ac:dyDescent="0.35">
      <c r="E40" s="2"/>
      <c r="F40" s="9"/>
      <c r="G40" s="2"/>
      <c r="J40" s="2"/>
      <c r="K40" s="9"/>
      <c r="L40" s="2"/>
    </row>
    <row r="41" spans="3:12" x14ac:dyDescent="0.35">
      <c r="E41" s="2"/>
      <c r="F41" s="9"/>
      <c r="G41" s="2"/>
      <c r="J41" s="2"/>
      <c r="K41" s="9"/>
      <c r="L41" s="2"/>
    </row>
    <row r="42" spans="3:12" x14ac:dyDescent="0.35">
      <c r="E42" s="2"/>
      <c r="F42" s="9"/>
      <c r="G42" s="2"/>
      <c r="J42" s="2"/>
      <c r="K42" s="9"/>
      <c r="L42" s="2"/>
    </row>
    <row r="43" spans="3:12" x14ac:dyDescent="0.35">
      <c r="E43" s="2"/>
      <c r="F43" s="9"/>
      <c r="G43" s="2"/>
      <c r="J43" s="2"/>
      <c r="K43" s="9"/>
      <c r="L43" s="2"/>
    </row>
    <row r="44" spans="3:12" ht="15" thickBot="1" x14ac:dyDescent="0.4">
      <c r="E44" s="3"/>
      <c r="F44" s="10"/>
      <c r="G44" s="3"/>
      <c r="J44" s="3"/>
      <c r="K44" s="10"/>
      <c r="L44" s="3"/>
    </row>
  </sheetData>
  <mergeCells count="2">
    <mergeCell ref="E10:G10"/>
    <mergeCell ref="J10:L10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AD9F1-0099-4C27-8F14-6139C4B3501A}">
  <dimension ref="B1:T44"/>
  <sheetViews>
    <sheetView workbookViewId="0">
      <selection activeCell="C5" sqref="C5"/>
    </sheetView>
  </sheetViews>
  <sheetFormatPr defaultRowHeight="14.5" x14ac:dyDescent="0.35"/>
  <cols>
    <col min="2" max="2" width="17.81640625" bestFit="1" customWidth="1"/>
    <col min="3" max="3" width="22.6328125" customWidth="1"/>
    <col min="5" max="5" width="13.7265625" bestFit="1" customWidth="1"/>
    <col min="6" max="6" width="7.36328125" bestFit="1" customWidth="1"/>
    <col min="7" max="7" width="14.453125" bestFit="1" customWidth="1"/>
    <col min="10" max="10" width="20.08984375" bestFit="1" customWidth="1"/>
    <col min="11" max="11" width="8.26953125" customWidth="1"/>
    <col min="12" max="12" width="27" bestFit="1" customWidth="1"/>
    <col min="13" max="13" width="10.1796875" bestFit="1" customWidth="1"/>
  </cols>
  <sheetData>
    <row r="1" spans="2:20" ht="15" thickBot="1" x14ac:dyDescent="0.4"/>
    <row r="2" spans="2:20" x14ac:dyDescent="0.35">
      <c r="B2" s="20" t="s">
        <v>9</v>
      </c>
      <c r="C2" s="24" t="s">
        <v>106</v>
      </c>
    </row>
    <row r="3" spans="2:20" x14ac:dyDescent="0.35">
      <c r="B3" s="27" t="s">
        <v>10</v>
      </c>
      <c r="C3" s="28" t="s">
        <v>27</v>
      </c>
    </row>
    <row r="4" spans="2:20" ht="101.5" x14ac:dyDescent="0.35">
      <c r="B4" s="29" t="s">
        <v>11</v>
      </c>
      <c r="C4" s="31" t="s">
        <v>524</v>
      </c>
    </row>
    <row r="5" spans="2:20" x14ac:dyDescent="0.35">
      <c r="B5" s="21" t="s">
        <v>12</v>
      </c>
      <c r="C5" s="25" t="s">
        <v>36</v>
      </c>
    </row>
    <row r="6" spans="2:20" x14ac:dyDescent="0.35">
      <c r="B6" s="21" t="s">
        <v>13</v>
      </c>
      <c r="C6" s="25" t="s">
        <v>107</v>
      </c>
    </row>
    <row r="7" spans="2:20" x14ac:dyDescent="0.35">
      <c r="B7" s="21" t="s">
        <v>14</v>
      </c>
      <c r="C7" s="25" t="s">
        <v>108</v>
      </c>
    </row>
    <row r="8" spans="2:20" x14ac:dyDescent="0.35">
      <c r="B8" s="21" t="s">
        <v>31</v>
      </c>
      <c r="C8" s="25" t="s">
        <v>47</v>
      </c>
    </row>
    <row r="9" spans="2:20" ht="15" thickBot="1" x14ac:dyDescent="0.4">
      <c r="B9" s="22" t="s">
        <v>32</v>
      </c>
      <c r="C9" s="26" t="s">
        <v>109</v>
      </c>
    </row>
    <row r="10" spans="2:20" ht="15" thickBot="1" x14ac:dyDescent="0.4">
      <c r="C10" s="23"/>
      <c r="E10" s="111" t="s">
        <v>15</v>
      </c>
      <c r="F10" s="112"/>
      <c r="G10" s="113"/>
      <c r="J10" s="111" t="s">
        <v>16</v>
      </c>
      <c r="K10" s="112"/>
      <c r="L10" s="112"/>
      <c r="M10" s="113"/>
    </row>
    <row r="11" spans="2:20" ht="15" thickBot="1" x14ac:dyDescent="0.4">
      <c r="C11" s="23"/>
      <c r="E11" s="14" t="s">
        <v>0</v>
      </c>
      <c r="F11" s="12" t="s">
        <v>1</v>
      </c>
      <c r="G11" s="14" t="s">
        <v>2</v>
      </c>
      <c r="J11" s="14" t="s">
        <v>0</v>
      </c>
      <c r="K11" s="12" t="s">
        <v>1</v>
      </c>
      <c r="L11" s="14" t="s">
        <v>24</v>
      </c>
      <c r="M11" s="34" t="s">
        <v>112</v>
      </c>
    </row>
    <row r="12" spans="2:20" x14ac:dyDescent="0.35">
      <c r="C12" s="23"/>
      <c r="E12" s="4" t="s">
        <v>105</v>
      </c>
      <c r="F12" s="8">
        <v>300</v>
      </c>
      <c r="G12" s="4" t="s">
        <v>23</v>
      </c>
      <c r="J12" s="4" t="s">
        <v>103</v>
      </c>
      <c r="K12" s="8">
        <v>25</v>
      </c>
      <c r="L12" s="4" t="s">
        <v>8</v>
      </c>
      <c r="M12" s="19"/>
      <c r="O12" s="114"/>
      <c r="P12" s="114"/>
      <c r="Q12" s="114"/>
      <c r="R12" s="114"/>
      <c r="S12" s="114"/>
      <c r="T12" s="114"/>
    </row>
    <row r="13" spans="2:20" x14ac:dyDescent="0.35">
      <c r="C13" s="23"/>
      <c r="E13" s="2" t="s">
        <v>19</v>
      </c>
      <c r="F13" s="9">
        <v>1000</v>
      </c>
      <c r="G13" s="4" t="s">
        <v>19</v>
      </c>
      <c r="J13" s="4" t="s">
        <v>103</v>
      </c>
      <c r="K13" s="9">
        <f>500-K12-K16-K18-K20-K21-K22-K23</f>
        <v>28.745490196078421</v>
      </c>
      <c r="L13" s="4" t="s">
        <v>514</v>
      </c>
      <c r="M13" s="2"/>
      <c r="O13" s="114"/>
      <c r="P13" s="114"/>
      <c r="Q13" s="114"/>
      <c r="R13" s="114"/>
      <c r="S13" s="114"/>
      <c r="T13" s="114"/>
    </row>
    <row r="14" spans="2:20" x14ac:dyDescent="0.35">
      <c r="C14" s="23"/>
      <c r="E14" s="2"/>
      <c r="F14" s="9"/>
      <c r="G14" s="4"/>
      <c r="J14" s="4" t="s">
        <v>5</v>
      </c>
      <c r="K14" s="9">
        <f>390-K17-K19-K24</f>
        <v>30.833333333333336</v>
      </c>
      <c r="L14" s="4" t="s">
        <v>25</v>
      </c>
      <c r="M14" s="2"/>
      <c r="O14" s="114"/>
      <c r="P14" s="114"/>
      <c r="Q14" s="114"/>
      <c r="R14" s="114"/>
      <c r="S14" s="114"/>
      <c r="T14" s="114"/>
    </row>
    <row r="15" spans="2:20" x14ac:dyDescent="0.35">
      <c r="C15" s="23"/>
      <c r="E15" s="2"/>
      <c r="F15" s="9"/>
      <c r="G15" s="2"/>
      <c r="J15" s="4" t="s">
        <v>104</v>
      </c>
      <c r="K15" s="9">
        <v>20</v>
      </c>
      <c r="L15" s="4" t="s">
        <v>8</v>
      </c>
      <c r="M15" s="2"/>
      <c r="O15" s="114"/>
      <c r="P15" s="114"/>
      <c r="Q15" s="114"/>
      <c r="R15" s="114"/>
      <c r="S15" s="114"/>
      <c r="T15" s="114"/>
    </row>
    <row r="16" spans="2:20" x14ac:dyDescent="0.35">
      <c r="C16" s="23"/>
      <c r="E16" s="2"/>
      <c r="F16" s="9"/>
      <c r="G16" s="2"/>
      <c r="J16" s="4" t="s">
        <v>103</v>
      </c>
      <c r="K16" s="9">
        <v>7.5</v>
      </c>
      <c r="L16" s="4" t="s">
        <v>111</v>
      </c>
      <c r="M16" s="2"/>
      <c r="O16" s="114" t="s">
        <v>120</v>
      </c>
      <c r="P16" s="114"/>
      <c r="Q16" s="114"/>
      <c r="R16" s="114"/>
      <c r="S16" s="114"/>
      <c r="T16" s="114"/>
    </row>
    <row r="17" spans="3:20" x14ac:dyDescent="0.35">
      <c r="C17" s="23"/>
      <c r="E17" s="2"/>
      <c r="F17" s="9"/>
      <c r="G17" s="2"/>
      <c r="J17" s="4" t="s">
        <v>5</v>
      </c>
      <c r="K17" s="9">
        <v>42</v>
      </c>
      <c r="L17" s="4" t="s">
        <v>111</v>
      </c>
      <c r="M17" s="2"/>
      <c r="O17" s="114"/>
      <c r="P17" s="114"/>
      <c r="Q17" s="114"/>
      <c r="R17" s="114"/>
      <c r="S17" s="114"/>
      <c r="T17" s="114"/>
    </row>
    <row r="18" spans="3:20" x14ac:dyDescent="0.35">
      <c r="C18" s="23"/>
      <c r="E18" s="2"/>
      <c r="F18" s="9"/>
      <c r="G18" s="2"/>
      <c r="J18" s="4" t="s">
        <v>103</v>
      </c>
      <c r="K18" s="9">
        <v>210</v>
      </c>
      <c r="L18" s="4" t="s">
        <v>146</v>
      </c>
      <c r="M18" s="2"/>
      <c r="O18" s="114"/>
      <c r="P18" s="114"/>
      <c r="Q18" s="114"/>
      <c r="R18" s="114"/>
      <c r="S18" s="114"/>
      <c r="T18" s="114"/>
    </row>
    <row r="19" spans="3:20" x14ac:dyDescent="0.35">
      <c r="C19" s="23"/>
      <c r="E19" s="2"/>
      <c r="F19" s="9"/>
      <c r="G19" s="2"/>
      <c r="J19" s="2" t="s">
        <v>5</v>
      </c>
      <c r="K19" s="9">
        <v>280</v>
      </c>
      <c r="L19" s="4" t="s">
        <v>146</v>
      </c>
      <c r="M19" s="2"/>
      <c r="O19" s="114"/>
      <c r="P19" s="114"/>
      <c r="Q19" s="114"/>
      <c r="R19" s="114"/>
      <c r="S19" s="114"/>
      <c r="T19" s="114"/>
    </row>
    <row r="20" spans="3:20" x14ac:dyDescent="0.35">
      <c r="C20" s="23"/>
      <c r="E20" s="2"/>
      <c r="F20" s="9"/>
      <c r="G20" s="2"/>
      <c r="J20" s="2" t="s">
        <v>103</v>
      </c>
      <c r="K20" s="9">
        <v>2.8</v>
      </c>
      <c r="L20" s="4" t="s">
        <v>169</v>
      </c>
      <c r="M20" s="2"/>
    </row>
    <row r="21" spans="3:20" x14ac:dyDescent="0.35">
      <c r="C21" s="23"/>
      <c r="E21" s="2"/>
      <c r="F21" s="9"/>
      <c r="G21" s="2"/>
      <c r="J21" s="2" t="s">
        <v>103</v>
      </c>
      <c r="K21" s="9">
        <v>109.5</v>
      </c>
      <c r="L21" s="4" t="s">
        <v>199</v>
      </c>
      <c r="M21" s="2"/>
      <c r="O21" s="115" t="s">
        <v>145</v>
      </c>
      <c r="P21" s="115"/>
      <c r="Q21" s="115"/>
      <c r="R21" s="115"/>
      <c r="S21" s="115"/>
      <c r="T21" s="115"/>
    </row>
    <row r="22" spans="3:20" x14ac:dyDescent="0.35">
      <c r="C22" s="23"/>
      <c r="E22" s="2"/>
      <c r="F22" s="9"/>
      <c r="G22" s="2"/>
      <c r="J22" s="2" t="s">
        <v>103</v>
      </c>
      <c r="K22" s="9">
        <f>79+19/50+23+19/255</f>
        <v>102.45450980392157</v>
      </c>
      <c r="L22" s="4" t="s">
        <v>251</v>
      </c>
      <c r="M22" s="2"/>
    </row>
    <row r="23" spans="3:20" x14ac:dyDescent="0.35">
      <c r="C23" s="23"/>
      <c r="E23" s="2"/>
      <c r="F23" s="9"/>
      <c r="G23" s="2"/>
      <c r="J23" s="2" t="s">
        <v>103</v>
      </c>
      <c r="K23" s="9">
        <v>14</v>
      </c>
      <c r="L23" s="4" t="s">
        <v>397</v>
      </c>
      <c r="M23" s="2"/>
      <c r="O23" s="114"/>
      <c r="P23" s="114"/>
      <c r="Q23" s="114"/>
      <c r="R23" s="114"/>
      <c r="S23" s="114"/>
      <c r="T23" s="114"/>
    </row>
    <row r="24" spans="3:20" x14ac:dyDescent="0.35">
      <c r="C24" s="23"/>
      <c r="E24" s="2"/>
      <c r="F24" s="9"/>
      <c r="G24" s="2"/>
      <c r="J24" s="2" t="s">
        <v>5</v>
      </c>
      <c r="K24" s="9">
        <f>34+2/3+2.5</f>
        <v>37.166666666666664</v>
      </c>
      <c r="L24" s="4" t="s">
        <v>442</v>
      </c>
      <c r="M24" s="2"/>
      <c r="O24" s="114"/>
      <c r="P24" s="114"/>
      <c r="Q24" s="114"/>
      <c r="R24" s="114"/>
      <c r="S24" s="114"/>
      <c r="T24" s="114"/>
    </row>
    <row r="25" spans="3:20" x14ac:dyDescent="0.35">
      <c r="C25" s="23"/>
      <c r="E25" s="2"/>
      <c r="F25" s="9"/>
      <c r="G25" s="2"/>
      <c r="J25" s="2"/>
      <c r="K25" s="9"/>
      <c r="L25" s="4"/>
      <c r="M25" s="2"/>
      <c r="O25" s="114"/>
      <c r="P25" s="114"/>
      <c r="Q25" s="114"/>
      <c r="R25" s="114"/>
      <c r="S25" s="114"/>
      <c r="T25" s="114"/>
    </row>
    <row r="26" spans="3:20" x14ac:dyDescent="0.35">
      <c r="C26" s="23"/>
      <c r="E26" s="2"/>
      <c r="F26" s="9"/>
      <c r="G26" s="2"/>
      <c r="J26" s="2"/>
      <c r="K26" s="9"/>
      <c r="L26" s="4"/>
      <c r="M26" s="2"/>
      <c r="O26" s="114"/>
      <c r="P26" s="114"/>
      <c r="Q26" s="114"/>
      <c r="R26" s="114"/>
      <c r="S26" s="114"/>
      <c r="T26" s="114"/>
    </row>
    <row r="27" spans="3:20" x14ac:dyDescent="0.35">
      <c r="C27" s="23"/>
      <c r="E27" s="2"/>
      <c r="F27" s="9"/>
      <c r="G27" s="2"/>
      <c r="J27" s="2"/>
      <c r="K27" s="9"/>
      <c r="L27" s="4"/>
      <c r="M27" s="2"/>
      <c r="O27" s="114" t="s">
        <v>454</v>
      </c>
      <c r="P27" s="114"/>
      <c r="Q27" s="114"/>
      <c r="R27" s="114"/>
      <c r="S27" s="114"/>
      <c r="T27" s="114"/>
    </row>
    <row r="28" spans="3:20" x14ac:dyDescent="0.35">
      <c r="C28" s="23"/>
      <c r="E28" s="2"/>
      <c r="F28" s="9"/>
      <c r="G28" s="2"/>
      <c r="J28" s="2"/>
      <c r="K28" s="9"/>
      <c r="L28" s="4"/>
      <c r="M28" s="2"/>
      <c r="O28" s="114"/>
      <c r="P28" s="114"/>
      <c r="Q28" s="114"/>
      <c r="R28" s="114"/>
      <c r="S28" s="114"/>
      <c r="T28" s="114"/>
    </row>
    <row r="29" spans="3:20" x14ac:dyDescent="0.35">
      <c r="C29" s="23"/>
      <c r="E29" s="2"/>
      <c r="F29" s="9"/>
      <c r="G29" s="2"/>
      <c r="J29" s="2"/>
      <c r="K29" s="9"/>
      <c r="L29" s="4"/>
      <c r="M29" s="2"/>
      <c r="O29" s="114"/>
      <c r="P29" s="114"/>
      <c r="Q29" s="114"/>
      <c r="R29" s="114"/>
      <c r="S29" s="114"/>
      <c r="T29" s="114"/>
    </row>
    <row r="30" spans="3:20" x14ac:dyDescent="0.35">
      <c r="C30" s="23"/>
      <c r="E30" s="2"/>
      <c r="F30" s="9"/>
      <c r="G30" s="2"/>
      <c r="J30" s="2"/>
      <c r="K30" s="9"/>
      <c r="L30" s="2"/>
      <c r="M30" s="2"/>
      <c r="O30" s="114"/>
      <c r="P30" s="114"/>
      <c r="Q30" s="114"/>
      <c r="R30" s="114"/>
      <c r="S30" s="114"/>
      <c r="T30" s="114"/>
    </row>
    <row r="31" spans="3:20" x14ac:dyDescent="0.35">
      <c r="C31" s="23"/>
      <c r="E31" s="2"/>
      <c r="F31" s="9"/>
      <c r="G31" s="2"/>
      <c r="J31" s="2"/>
      <c r="K31" s="9"/>
      <c r="L31" s="2"/>
      <c r="M31" s="2"/>
    </row>
    <row r="32" spans="3:20" x14ac:dyDescent="0.35">
      <c r="C32" s="23"/>
      <c r="E32" s="2"/>
      <c r="F32" s="9"/>
      <c r="G32" s="2"/>
      <c r="J32" s="2"/>
      <c r="K32" s="9"/>
      <c r="L32" s="2"/>
      <c r="M32" s="2"/>
    </row>
    <row r="33" spans="3:13" x14ac:dyDescent="0.35">
      <c r="C33" s="23"/>
      <c r="E33" s="2"/>
      <c r="F33" s="9"/>
      <c r="G33" s="2"/>
      <c r="J33" s="2"/>
      <c r="K33" s="9"/>
      <c r="L33" s="2"/>
      <c r="M33" s="2"/>
    </row>
    <row r="34" spans="3:13" x14ac:dyDescent="0.35">
      <c r="C34" s="23"/>
      <c r="E34" s="2"/>
      <c r="F34" s="9"/>
      <c r="G34" s="2"/>
      <c r="J34" s="2"/>
      <c r="K34" s="9"/>
      <c r="L34" s="2"/>
      <c r="M34" s="2"/>
    </row>
    <row r="35" spans="3:13" x14ac:dyDescent="0.35">
      <c r="C35" s="23"/>
      <c r="E35" s="2"/>
      <c r="F35" s="9"/>
      <c r="G35" s="2"/>
      <c r="J35" s="2"/>
      <c r="K35" s="9"/>
      <c r="L35" s="2"/>
      <c r="M35" s="2"/>
    </row>
    <row r="36" spans="3:13" x14ac:dyDescent="0.35">
      <c r="C36" s="23"/>
      <c r="E36" s="2"/>
      <c r="F36" s="9"/>
      <c r="G36" s="2"/>
      <c r="J36" s="2"/>
      <c r="K36" s="9"/>
      <c r="L36" s="2"/>
      <c r="M36" s="2"/>
    </row>
    <row r="37" spans="3:13" x14ac:dyDescent="0.35">
      <c r="E37" s="2"/>
      <c r="F37" s="9"/>
      <c r="G37" s="2"/>
      <c r="J37" s="2"/>
      <c r="K37" s="9"/>
      <c r="L37" s="2"/>
      <c r="M37" s="2"/>
    </row>
    <row r="38" spans="3:13" x14ac:dyDescent="0.35">
      <c r="E38" s="2"/>
      <c r="F38" s="9"/>
      <c r="G38" s="2"/>
      <c r="J38" s="2"/>
      <c r="K38" s="9"/>
      <c r="L38" s="2"/>
      <c r="M38" s="2"/>
    </row>
    <row r="39" spans="3:13" x14ac:dyDescent="0.35">
      <c r="E39" s="2"/>
      <c r="F39" s="9"/>
      <c r="G39" s="2"/>
      <c r="J39" s="2"/>
      <c r="K39" s="9"/>
      <c r="L39" s="2"/>
      <c r="M39" s="2"/>
    </row>
    <row r="40" spans="3:13" x14ac:dyDescent="0.35">
      <c r="E40" s="2"/>
      <c r="F40" s="9"/>
      <c r="G40" s="2"/>
      <c r="J40" s="2"/>
      <c r="K40" s="9"/>
      <c r="L40" s="2"/>
      <c r="M40" s="2"/>
    </row>
    <row r="41" spans="3:13" x14ac:dyDescent="0.35">
      <c r="E41" s="2"/>
      <c r="F41" s="9"/>
      <c r="G41" s="2"/>
      <c r="J41" s="2"/>
      <c r="K41" s="9"/>
      <c r="L41" s="2"/>
      <c r="M41" s="2"/>
    </row>
    <row r="42" spans="3:13" x14ac:dyDescent="0.35">
      <c r="E42" s="2"/>
      <c r="F42" s="9"/>
      <c r="G42" s="2"/>
      <c r="J42" s="2"/>
      <c r="K42" s="9"/>
      <c r="L42" s="2"/>
      <c r="M42" s="2"/>
    </row>
    <row r="43" spans="3:13" x14ac:dyDescent="0.35">
      <c r="E43" s="2"/>
      <c r="F43" s="9"/>
      <c r="G43" s="2"/>
      <c r="J43" s="2"/>
      <c r="K43" s="9"/>
      <c r="L43" s="2"/>
      <c r="M43" s="2"/>
    </row>
    <row r="44" spans="3:13" ht="15" thickBot="1" x14ac:dyDescent="0.4">
      <c r="E44" s="3"/>
      <c r="F44" s="10"/>
      <c r="G44" s="3"/>
      <c r="J44" s="3"/>
      <c r="K44" s="10"/>
      <c r="L44" s="3"/>
      <c r="M44" s="3"/>
    </row>
  </sheetData>
  <mergeCells count="7">
    <mergeCell ref="O23:T26"/>
    <mergeCell ref="O27:T30"/>
    <mergeCell ref="E10:G10"/>
    <mergeCell ref="J10:M10"/>
    <mergeCell ref="O12:T15"/>
    <mergeCell ref="O16:T19"/>
    <mergeCell ref="O21:T2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1A768-E1F1-4F70-B6C9-A662B38F9ACD}">
  <dimension ref="B1:L66"/>
  <sheetViews>
    <sheetView topLeftCell="D1" zoomScale="85" zoomScaleNormal="85" workbookViewId="0">
      <selection activeCell="J42" sqref="J42"/>
    </sheetView>
  </sheetViews>
  <sheetFormatPr defaultRowHeight="14.5" x14ac:dyDescent="0.35"/>
  <cols>
    <col min="2" max="2" width="17.81640625" bestFit="1" customWidth="1"/>
    <col min="3" max="3" width="30.08984375" customWidth="1"/>
    <col min="5" max="5" width="12" bestFit="1" customWidth="1"/>
    <col min="6" max="6" width="7.36328125" bestFit="1" customWidth="1"/>
    <col min="7" max="7" width="16.36328125" bestFit="1" customWidth="1"/>
    <col min="10" max="10" width="20.453125" bestFit="1" customWidth="1"/>
    <col min="11" max="11" width="9" customWidth="1"/>
    <col min="12" max="12" width="20.1796875" bestFit="1" customWidth="1"/>
    <col min="16" max="16" width="9.81640625" bestFit="1" customWidth="1"/>
  </cols>
  <sheetData>
    <row r="1" spans="2:12" ht="15" thickBot="1" x14ac:dyDescent="0.4"/>
    <row r="2" spans="2:12" x14ac:dyDescent="0.35">
      <c r="B2" s="20" t="s">
        <v>9</v>
      </c>
      <c r="C2" s="24" t="s">
        <v>130</v>
      </c>
    </row>
    <row r="3" spans="2:12" x14ac:dyDescent="0.35">
      <c r="B3" s="27" t="s">
        <v>10</v>
      </c>
      <c r="C3" s="28" t="s">
        <v>44</v>
      </c>
    </row>
    <row r="4" spans="2:12" ht="101.5" x14ac:dyDescent="0.35">
      <c r="B4" s="27" t="s">
        <v>11</v>
      </c>
      <c r="C4" s="30" t="s">
        <v>530</v>
      </c>
    </row>
    <row r="5" spans="2:12" x14ac:dyDescent="0.35">
      <c r="B5" s="21" t="s">
        <v>12</v>
      </c>
      <c r="C5" s="25" t="s">
        <v>36</v>
      </c>
    </row>
    <row r="6" spans="2:12" x14ac:dyDescent="0.35">
      <c r="B6" s="21" t="s">
        <v>13</v>
      </c>
      <c r="C6" s="25" t="s">
        <v>459</v>
      </c>
    </row>
    <row r="7" spans="2:12" x14ac:dyDescent="0.35">
      <c r="B7" s="21" t="s">
        <v>14</v>
      </c>
      <c r="C7" s="25" t="s">
        <v>460</v>
      </c>
    </row>
    <row r="8" spans="2:12" x14ac:dyDescent="0.35">
      <c r="B8" s="21" t="s">
        <v>31</v>
      </c>
      <c r="C8" s="25" t="s">
        <v>461</v>
      </c>
    </row>
    <row r="9" spans="2:12" ht="15" thickBot="1" x14ac:dyDescent="0.4">
      <c r="B9" s="22" t="s">
        <v>32</v>
      </c>
      <c r="C9" s="26" t="s">
        <v>462</v>
      </c>
    </row>
    <row r="10" spans="2:12" ht="15" thickBot="1" x14ac:dyDescent="0.4">
      <c r="C10" s="23"/>
      <c r="E10" s="111" t="s">
        <v>15</v>
      </c>
      <c r="F10" s="112"/>
      <c r="G10" s="113"/>
      <c r="J10" s="111" t="s">
        <v>16</v>
      </c>
      <c r="K10" s="112"/>
      <c r="L10" s="113"/>
    </row>
    <row r="11" spans="2:12" ht="15" thickBot="1" x14ac:dyDescent="0.4">
      <c r="C11" s="23"/>
      <c r="E11" s="14" t="s">
        <v>0</v>
      </c>
      <c r="F11" s="12" t="s">
        <v>1</v>
      </c>
      <c r="G11" s="14" t="s">
        <v>2</v>
      </c>
      <c r="J11" s="14" t="s">
        <v>0</v>
      </c>
      <c r="K11" s="12" t="s">
        <v>1</v>
      </c>
      <c r="L11" s="14" t="s">
        <v>24</v>
      </c>
    </row>
    <row r="12" spans="2:12" x14ac:dyDescent="0.35">
      <c r="C12" s="23"/>
      <c r="E12" s="4" t="s">
        <v>131</v>
      </c>
      <c r="F12" s="8">
        <v>600</v>
      </c>
      <c r="G12" s="4" t="s">
        <v>60</v>
      </c>
      <c r="J12" s="19" t="s">
        <v>134</v>
      </c>
      <c r="K12" s="43">
        <v>49.332999999999998</v>
      </c>
      <c r="L12" s="39" t="s">
        <v>8</v>
      </c>
    </row>
    <row r="13" spans="2:12" x14ac:dyDescent="0.35">
      <c r="C13" s="23"/>
      <c r="E13" s="2" t="s">
        <v>61</v>
      </c>
      <c r="F13" s="9">
        <v>1000</v>
      </c>
      <c r="G13" s="4" t="s">
        <v>60</v>
      </c>
      <c r="J13" s="4" t="s">
        <v>134</v>
      </c>
      <c r="K13" s="11">
        <f>246+2/3-K28-K30</f>
        <v>26.3333333333333</v>
      </c>
      <c r="L13" s="41" t="s">
        <v>25</v>
      </c>
    </row>
    <row r="14" spans="2:12" x14ac:dyDescent="0.35">
      <c r="C14" s="23"/>
      <c r="E14" s="2" t="s">
        <v>17</v>
      </c>
      <c r="F14" s="9">
        <v>400</v>
      </c>
      <c r="G14" s="4" t="s">
        <v>60</v>
      </c>
      <c r="J14" s="4" t="s">
        <v>135</v>
      </c>
      <c r="K14" s="11">
        <v>12</v>
      </c>
      <c r="L14" s="41" t="s">
        <v>8</v>
      </c>
    </row>
    <row r="15" spans="2:12" x14ac:dyDescent="0.35">
      <c r="C15" s="23"/>
      <c r="E15" s="2" t="s">
        <v>18</v>
      </c>
      <c r="F15" s="9">
        <v>200</v>
      </c>
      <c r="G15" s="2" t="s">
        <v>60</v>
      </c>
      <c r="J15" s="4" t="s">
        <v>136</v>
      </c>
      <c r="K15" s="11">
        <v>45</v>
      </c>
      <c r="L15" s="41" t="s">
        <v>8</v>
      </c>
    </row>
    <row r="16" spans="2:12" x14ac:dyDescent="0.35">
      <c r="C16" s="23"/>
      <c r="E16" s="2" t="s">
        <v>19</v>
      </c>
      <c r="F16" s="9">
        <v>240</v>
      </c>
      <c r="G16" s="2" t="s">
        <v>132</v>
      </c>
      <c r="J16" s="4" t="s">
        <v>137</v>
      </c>
      <c r="K16" s="11">
        <f>222-K19-K22-K25-K29</f>
        <v>20.137500000000003</v>
      </c>
      <c r="L16" s="41" t="s">
        <v>8</v>
      </c>
    </row>
    <row r="17" spans="3:12" x14ac:dyDescent="0.35">
      <c r="C17" s="23"/>
      <c r="E17" s="2" t="s">
        <v>43</v>
      </c>
      <c r="F17" s="9">
        <v>246.67</v>
      </c>
      <c r="G17" s="2" t="s">
        <v>133</v>
      </c>
      <c r="J17" s="4" t="s">
        <v>87</v>
      </c>
      <c r="K17" s="11">
        <v>7.35</v>
      </c>
      <c r="L17" s="41" t="s">
        <v>169</v>
      </c>
    </row>
    <row r="18" spans="3:12" x14ac:dyDescent="0.35">
      <c r="C18" s="23"/>
      <c r="E18" s="2"/>
      <c r="F18" s="9"/>
      <c r="G18" s="2"/>
      <c r="J18" s="4" t="s">
        <v>87</v>
      </c>
      <c r="K18" s="11">
        <f>410-K17-K23-K24-K26-K27</f>
        <v>89.898888888888862</v>
      </c>
      <c r="L18" s="41" t="s">
        <v>25</v>
      </c>
    </row>
    <row r="19" spans="3:12" x14ac:dyDescent="0.35">
      <c r="C19" s="23"/>
      <c r="E19" s="2"/>
      <c r="F19" s="9"/>
      <c r="G19" s="2"/>
      <c r="J19" s="4" t="s">
        <v>137</v>
      </c>
      <c r="K19" s="11">
        <v>160</v>
      </c>
      <c r="L19" s="41" t="s">
        <v>146</v>
      </c>
    </row>
    <row r="20" spans="3:12" x14ac:dyDescent="0.35">
      <c r="C20" s="23"/>
      <c r="E20" s="2"/>
      <c r="F20" s="9"/>
      <c r="G20" s="2"/>
      <c r="J20" s="2" t="s">
        <v>157</v>
      </c>
      <c r="K20" s="11">
        <v>5</v>
      </c>
      <c r="L20" s="41" t="s">
        <v>8</v>
      </c>
    </row>
    <row r="21" spans="3:12" x14ac:dyDescent="0.35">
      <c r="C21" s="23"/>
      <c r="E21" s="2"/>
      <c r="F21" s="9"/>
      <c r="G21" s="2"/>
      <c r="J21" s="4" t="s">
        <v>136</v>
      </c>
      <c r="K21" s="11">
        <v>150</v>
      </c>
      <c r="L21" s="41" t="s">
        <v>158</v>
      </c>
    </row>
    <row r="22" spans="3:12" x14ac:dyDescent="0.35">
      <c r="C22" s="23"/>
      <c r="E22" s="2"/>
      <c r="F22" s="9"/>
      <c r="G22" s="2"/>
      <c r="J22" s="4" t="s">
        <v>137</v>
      </c>
      <c r="K22" s="11">
        <v>0.3</v>
      </c>
      <c r="L22" s="41" t="s">
        <v>169</v>
      </c>
    </row>
    <row r="23" spans="3:12" x14ac:dyDescent="0.35">
      <c r="C23" s="23"/>
      <c r="E23" s="2"/>
      <c r="F23" s="9"/>
      <c r="G23" s="2"/>
      <c r="J23" s="2" t="s">
        <v>87</v>
      </c>
      <c r="K23" s="11">
        <v>176.4</v>
      </c>
      <c r="L23" s="41" t="s">
        <v>199</v>
      </c>
    </row>
    <row r="24" spans="3:12" x14ac:dyDescent="0.35">
      <c r="C24" s="23"/>
      <c r="E24" s="2"/>
      <c r="F24" s="9"/>
      <c r="G24" s="2"/>
      <c r="J24" s="2" t="s">
        <v>87</v>
      </c>
      <c r="K24" s="11">
        <v>28.6</v>
      </c>
      <c r="L24" s="41" t="s">
        <v>216</v>
      </c>
    </row>
    <row r="25" spans="3:12" x14ac:dyDescent="0.35">
      <c r="C25" s="23"/>
      <c r="E25" s="2"/>
      <c r="F25" s="9"/>
      <c r="G25" s="2"/>
      <c r="J25" s="2" t="s">
        <v>137</v>
      </c>
      <c r="K25" s="11">
        <f>1+9/16</f>
        <v>1.5625</v>
      </c>
      <c r="L25" s="41" t="s">
        <v>158</v>
      </c>
    </row>
    <row r="26" spans="3:12" x14ac:dyDescent="0.35">
      <c r="C26" s="23"/>
      <c r="E26" s="2"/>
      <c r="F26" s="9"/>
      <c r="G26" s="2"/>
      <c r="J26" s="2" t="s">
        <v>87</v>
      </c>
      <c r="K26" s="11">
        <f>72+124/225</f>
        <v>72.551111111111112</v>
      </c>
      <c r="L26" s="41" t="s">
        <v>251</v>
      </c>
    </row>
    <row r="27" spans="3:12" x14ac:dyDescent="0.35">
      <c r="C27" s="23"/>
      <c r="E27" s="2"/>
      <c r="F27" s="9"/>
      <c r="G27" s="2"/>
      <c r="J27" s="2" t="s">
        <v>87</v>
      </c>
      <c r="K27" s="11">
        <v>35.200000000000003</v>
      </c>
      <c r="L27" s="41" t="s">
        <v>397</v>
      </c>
    </row>
    <row r="28" spans="3:12" x14ac:dyDescent="0.35">
      <c r="C28" s="23"/>
      <c r="E28" s="2"/>
      <c r="F28" s="9"/>
      <c r="G28" s="2"/>
      <c r="J28" s="2" t="s">
        <v>141</v>
      </c>
      <c r="K28" s="11">
        <f>114+2/15</f>
        <v>114.13333333333334</v>
      </c>
      <c r="L28" s="41" t="s">
        <v>442</v>
      </c>
    </row>
    <row r="29" spans="3:12" x14ac:dyDescent="0.35">
      <c r="C29" s="23"/>
      <c r="E29" s="2"/>
      <c r="F29" s="9"/>
      <c r="G29" s="2"/>
      <c r="J29" s="2" t="s">
        <v>137</v>
      </c>
      <c r="K29" s="11">
        <v>40</v>
      </c>
      <c r="L29" s="41" t="s">
        <v>514</v>
      </c>
    </row>
    <row r="30" spans="3:12" x14ac:dyDescent="0.35">
      <c r="C30" s="23"/>
      <c r="E30" s="2"/>
      <c r="F30" s="9"/>
      <c r="G30" s="2"/>
      <c r="J30" s="2" t="s">
        <v>141</v>
      </c>
      <c r="K30" s="11">
        <f>106+1/5</f>
        <v>106.2</v>
      </c>
      <c r="L30" s="40" t="s">
        <v>514</v>
      </c>
    </row>
    <row r="31" spans="3:12" x14ac:dyDescent="0.35">
      <c r="C31" s="23"/>
      <c r="E31" s="2"/>
      <c r="F31" s="9"/>
      <c r="G31" s="2"/>
      <c r="J31" s="2"/>
      <c r="K31" s="11"/>
      <c r="L31" s="40"/>
    </row>
    <row r="32" spans="3:12" x14ac:dyDescent="0.35">
      <c r="C32" s="23"/>
      <c r="E32" s="2"/>
      <c r="F32" s="9"/>
      <c r="G32" s="2"/>
      <c r="J32" s="2"/>
      <c r="K32" s="11"/>
      <c r="L32" s="40"/>
    </row>
    <row r="33" spans="3:12" x14ac:dyDescent="0.35">
      <c r="C33" s="23"/>
      <c r="E33" s="2"/>
      <c r="F33" s="9"/>
      <c r="G33" s="2"/>
      <c r="J33" s="2"/>
      <c r="K33" s="11"/>
      <c r="L33" s="40"/>
    </row>
    <row r="34" spans="3:12" x14ac:dyDescent="0.35">
      <c r="C34" s="23"/>
      <c r="E34" s="2"/>
      <c r="F34" s="9"/>
      <c r="G34" s="2"/>
      <c r="J34" s="2"/>
      <c r="K34" s="11"/>
      <c r="L34" s="40"/>
    </row>
    <row r="35" spans="3:12" x14ac:dyDescent="0.35">
      <c r="C35" s="23"/>
      <c r="E35" s="2"/>
      <c r="F35" s="9"/>
      <c r="G35" s="2"/>
      <c r="J35" s="2"/>
      <c r="K35" s="11"/>
      <c r="L35" s="40"/>
    </row>
    <row r="36" spans="3:12" x14ac:dyDescent="0.35">
      <c r="C36" s="23"/>
      <c r="E36" s="2"/>
      <c r="F36" s="9"/>
      <c r="G36" s="2"/>
      <c r="J36" s="2"/>
      <c r="K36" s="11"/>
      <c r="L36" s="40"/>
    </row>
    <row r="37" spans="3:12" x14ac:dyDescent="0.35">
      <c r="E37" s="2"/>
      <c r="F37" s="9"/>
      <c r="G37" s="2"/>
      <c r="J37" s="2"/>
      <c r="K37" s="11"/>
      <c r="L37" s="40"/>
    </row>
    <row r="38" spans="3:12" x14ac:dyDescent="0.35">
      <c r="E38" s="2"/>
      <c r="F38" s="9"/>
      <c r="G38" s="2"/>
      <c r="J38" s="2"/>
      <c r="K38" s="11"/>
      <c r="L38" s="40"/>
    </row>
    <row r="39" spans="3:12" x14ac:dyDescent="0.35">
      <c r="E39" s="2"/>
      <c r="F39" s="9"/>
      <c r="G39" s="2"/>
      <c r="J39" s="2"/>
      <c r="K39" s="11"/>
      <c r="L39" s="40"/>
    </row>
    <row r="40" spans="3:12" x14ac:dyDescent="0.35">
      <c r="E40" s="2"/>
      <c r="F40" s="9"/>
      <c r="G40" s="2"/>
      <c r="J40" s="2"/>
      <c r="K40" s="11"/>
      <c r="L40" s="40"/>
    </row>
    <row r="41" spans="3:12" x14ac:dyDescent="0.35">
      <c r="E41" s="2"/>
      <c r="F41" s="9"/>
      <c r="G41" s="2"/>
      <c r="J41" s="2"/>
      <c r="K41" s="11"/>
      <c r="L41" s="40"/>
    </row>
    <row r="42" spans="3:12" x14ac:dyDescent="0.35">
      <c r="E42" s="2"/>
      <c r="F42" s="9"/>
      <c r="G42" s="2"/>
      <c r="J42" s="2"/>
      <c r="K42" s="11"/>
      <c r="L42" s="40"/>
    </row>
    <row r="43" spans="3:12" x14ac:dyDescent="0.35">
      <c r="E43" s="2"/>
      <c r="F43" s="9"/>
      <c r="G43" s="2"/>
      <c r="J43" s="2"/>
      <c r="K43" s="11"/>
      <c r="L43" s="40"/>
    </row>
    <row r="44" spans="3:12" ht="15" thickBot="1" x14ac:dyDescent="0.4">
      <c r="E44" s="3"/>
      <c r="F44" s="10"/>
      <c r="G44" s="3"/>
      <c r="J44" s="3"/>
      <c r="K44" s="44"/>
      <c r="L44" s="42"/>
    </row>
    <row r="64" spans="12:12" x14ac:dyDescent="0.35">
      <c r="L64">
        <f>296-49-1/3-K28-90</f>
        <v>42.533333333333303</v>
      </c>
    </row>
    <row r="66" spans="12:12" x14ac:dyDescent="0.35">
      <c r="L66">
        <f>L64/638*241</f>
        <v>16.066666666666656</v>
      </c>
    </row>
  </sheetData>
  <mergeCells count="2">
    <mergeCell ref="E10:G10"/>
    <mergeCell ref="J10:L10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930F0-3027-4B2E-8126-4FAD3B96111E}">
  <dimension ref="B1:L44"/>
  <sheetViews>
    <sheetView workbookViewId="0">
      <selection activeCell="R26" sqref="R26"/>
    </sheetView>
  </sheetViews>
  <sheetFormatPr defaultRowHeight="14.5" x14ac:dyDescent="0.35"/>
  <cols>
    <col min="2" max="2" width="17.81640625" bestFit="1" customWidth="1"/>
    <col min="3" max="3" width="19.7265625" customWidth="1"/>
    <col min="5" max="5" width="14.90625" bestFit="1" customWidth="1"/>
    <col min="6" max="6" width="7.81640625" bestFit="1" customWidth="1"/>
    <col min="7" max="7" width="16.36328125" bestFit="1" customWidth="1"/>
    <col min="10" max="10" width="4.6328125" bestFit="1" customWidth="1"/>
    <col min="11" max="11" width="16.453125" bestFit="1" customWidth="1"/>
    <col min="12" max="12" width="19.54296875" bestFit="1" customWidth="1"/>
  </cols>
  <sheetData>
    <row r="1" spans="2:12" ht="15" thickBot="1" x14ac:dyDescent="0.4"/>
    <row r="2" spans="2:12" x14ac:dyDescent="0.35">
      <c r="B2" s="20" t="s">
        <v>9</v>
      </c>
      <c r="C2" s="24" t="s">
        <v>146</v>
      </c>
    </row>
    <row r="3" spans="2:12" ht="74.5" customHeight="1" x14ac:dyDescent="0.35">
      <c r="B3" s="27" t="s">
        <v>10</v>
      </c>
      <c r="C3" s="28" t="s">
        <v>466</v>
      </c>
    </row>
    <row r="4" spans="2:12" ht="72.5" x14ac:dyDescent="0.35">
      <c r="B4" s="27" t="s">
        <v>11</v>
      </c>
      <c r="C4" s="37" t="s">
        <v>534</v>
      </c>
    </row>
    <row r="5" spans="2:12" x14ac:dyDescent="0.35">
      <c r="B5" s="21" t="s">
        <v>12</v>
      </c>
      <c r="C5" s="25" t="s">
        <v>36</v>
      </c>
    </row>
    <row r="6" spans="2:12" x14ac:dyDescent="0.35">
      <c r="B6" s="21" t="s">
        <v>13</v>
      </c>
      <c r="C6" s="25" t="s">
        <v>153</v>
      </c>
    </row>
    <row r="7" spans="2:12" x14ac:dyDescent="0.35">
      <c r="B7" s="21" t="s">
        <v>14</v>
      </c>
      <c r="C7" s="25" t="s">
        <v>154</v>
      </c>
    </row>
    <row r="8" spans="2:12" x14ac:dyDescent="0.35">
      <c r="B8" s="21" t="s">
        <v>31</v>
      </c>
      <c r="C8" s="25" t="s">
        <v>155</v>
      </c>
    </row>
    <row r="9" spans="2:12" ht="15" thickBot="1" x14ac:dyDescent="0.4">
      <c r="B9" s="22" t="s">
        <v>32</v>
      </c>
      <c r="C9" s="26" t="s">
        <v>156</v>
      </c>
    </row>
    <row r="10" spans="2:12" ht="15" thickBot="1" x14ac:dyDescent="0.4">
      <c r="C10" s="23"/>
      <c r="E10" s="111" t="s">
        <v>15</v>
      </c>
      <c r="F10" s="112"/>
      <c r="G10" s="113"/>
      <c r="J10" s="111" t="s">
        <v>16</v>
      </c>
      <c r="K10" s="112"/>
      <c r="L10" s="113"/>
    </row>
    <row r="11" spans="2:12" ht="15" thickBot="1" x14ac:dyDescent="0.4">
      <c r="C11" s="23"/>
      <c r="E11" s="14" t="s">
        <v>0</v>
      </c>
      <c r="F11" s="12" t="s">
        <v>1</v>
      </c>
      <c r="G11" s="14" t="s">
        <v>2</v>
      </c>
      <c r="J11" s="14" t="s">
        <v>0</v>
      </c>
      <c r="K11" s="12" t="s">
        <v>1</v>
      </c>
      <c r="L11" s="14" t="s">
        <v>24</v>
      </c>
    </row>
    <row r="12" spans="2:12" x14ac:dyDescent="0.35">
      <c r="C12" s="23"/>
      <c r="E12" s="4" t="s">
        <v>43</v>
      </c>
      <c r="F12" s="8">
        <v>1272.67</v>
      </c>
      <c r="G12" s="4" t="s">
        <v>133</v>
      </c>
      <c r="J12" s="38">
        <f>10-J14-J16-J18</f>
        <v>0.5</v>
      </c>
      <c r="K12" s="8" t="s">
        <v>151</v>
      </c>
      <c r="L12" s="4" t="s">
        <v>8</v>
      </c>
    </row>
    <row r="13" spans="2:12" x14ac:dyDescent="0.35">
      <c r="C13" s="23"/>
      <c r="E13" s="2" t="s">
        <v>87</v>
      </c>
      <c r="F13" s="9">
        <v>606</v>
      </c>
      <c r="G13" s="4" t="s">
        <v>85</v>
      </c>
      <c r="J13" s="38">
        <f>10-J17-J15</f>
        <v>1</v>
      </c>
      <c r="K13" s="9" t="s">
        <v>152</v>
      </c>
      <c r="L13" s="4" t="s">
        <v>8</v>
      </c>
    </row>
    <row r="14" spans="2:12" x14ac:dyDescent="0.35">
      <c r="C14" s="23"/>
      <c r="E14" s="2" t="s">
        <v>86</v>
      </c>
      <c r="F14" s="9">
        <v>300</v>
      </c>
      <c r="G14" s="4" t="s">
        <v>85</v>
      </c>
      <c r="J14" s="38">
        <v>0.5</v>
      </c>
      <c r="K14" s="9" t="s">
        <v>151</v>
      </c>
      <c r="L14" s="4" t="s">
        <v>216</v>
      </c>
    </row>
    <row r="15" spans="2:12" x14ac:dyDescent="0.35">
      <c r="C15" s="23"/>
      <c r="E15" s="2" t="s">
        <v>19</v>
      </c>
      <c r="F15" s="9">
        <v>481</v>
      </c>
      <c r="G15" s="2" t="s">
        <v>62</v>
      </c>
      <c r="J15" s="38">
        <v>2</v>
      </c>
      <c r="K15" s="9" t="s">
        <v>152</v>
      </c>
      <c r="L15" s="4" t="s">
        <v>229</v>
      </c>
    </row>
    <row r="16" spans="2:12" x14ac:dyDescent="0.35">
      <c r="C16" s="23"/>
      <c r="E16" s="2" t="s">
        <v>103</v>
      </c>
      <c r="F16" s="9">
        <v>210</v>
      </c>
      <c r="G16" s="2" t="s">
        <v>106</v>
      </c>
      <c r="J16" s="38">
        <v>1</v>
      </c>
      <c r="K16" s="9" t="s">
        <v>151</v>
      </c>
      <c r="L16" s="4" t="s">
        <v>397</v>
      </c>
    </row>
    <row r="17" spans="3:12" x14ac:dyDescent="0.35">
      <c r="C17" s="23"/>
      <c r="E17" s="2" t="s">
        <v>5</v>
      </c>
      <c r="F17" s="9">
        <v>280</v>
      </c>
      <c r="G17" s="2" t="s">
        <v>106</v>
      </c>
      <c r="J17" s="38">
        <v>7</v>
      </c>
      <c r="K17" s="9" t="s">
        <v>152</v>
      </c>
      <c r="L17" s="4" t="s">
        <v>442</v>
      </c>
    </row>
    <row r="18" spans="3:12" x14ac:dyDescent="0.35">
      <c r="C18" s="23"/>
      <c r="E18" s="2" t="s">
        <v>53</v>
      </c>
      <c r="F18" s="9">
        <v>158.33000000000001</v>
      </c>
      <c r="G18" s="2" t="s">
        <v>50</v>
      </c>
      <c r="J18" s="38">
        <v>8</v>
      </c>
      <c r="K18" s="9" t="s">
        <v>151</v>
      </c>
      <c r="L18" s="4" t="s">
        <v>514</v>
      </c>
    </row>
    <row r="19" spans="3:12" x14ac:dyDescent="0.35">
      <c r="C19" s="23"/>
      <c r="E19" s="2" t="s">
        <v>150</v>
      </c>
      <c r="F19" s="9">
        <v>160</v>
      </c>
      <c r="G19" s="2" t="s">
        <v>130</v>
      </c>
      <c r="J19" s="11"/>
      <c r="K19" s="9"/>
      <c r="L19" s="4"/>
    </row>
    <row r="20" spans="3:12" x14ac:dyDescent="0.35">
      <c r="C20" s="23"/>
      <c r="E20" s="2"/>
      <c r="F20" s="9"/>
      <c r="G20" s="2"/>
      <c r="J20" s="11"/>
      <c r="K20" s="9"/>
      <c r="L20" s="4"/>
    </row>
    <row r="21" spans="3:12" x14ac:dyDescent="0.35">
      <c r="C21" s="23"/>
      <c r="E21" s="2"/>
      <c r="F21" s="9"/>
      <c r="G21" s="2"/>
      <c r="J21" s="11"/>
      <c r="K21" s="9"/>
      <c r="L21" s="4"/>
    </row>
    <row r="22" spans="3:12" x14ac:dyDescent="0.35">
      <c r="C22" s="23"/>
      <c r="E22" s="2"/>
      <c r="F22" s="9"/>
      <c r="G22" s="2"/>
      <c r="J22" s="11"/>
      <c r="K22" s="9"/>
      <c r="L22" s="4"/>
    </row>
    <row r="23" spans="3:12" x14ac:dyDescent="0.35">
      <c r="C23" s="23"/>
      <c r="E23" s="2"/>
      <c r="F23" s="9"/>
      <c r="G23" s="2"/>
      <c r="J23" s="11"/>
      <c r="K23" s="9"/>
      <c r="L23" s="4"/>
    </row>
    <row r="24" spans="3:12" x14ac:dyDescent="0.35">
      <c r="C24" s="23"/>
      <c r="E24" s="2"/>
      <c r="F24" s="9"/>
      <c r="G24" s="2"/>
      <c r="J24" s="11"/>
      <c r="K24" s="9"/>
      <c r="L24" s="4"/>
    </row>
    <row r="25" spans="3:12" x14ac:dyDescent="0.35">
      <c r="C25" s="23"/>
      <c r="E25" s="2"/>
      <c r="F25" s="9"/>
      <c r="G25" s="2"/>
      <c r="J25" s="11"/>
      <c r="K25" s="9"/>
      <c r="L25" s="4"/>
    </row>
    <row r="26" spans="3:12" x14ac:dyDescent="0.35">
      <c r="C26" s="23"/>
      <c r="E26" s="2"/>
      <c r="F26" s="9"/>
      <c r="G26" s="2"/>
      <c r="J26" s="11"/>
      <c r="K26" s="9"/>
      <c r="L26" s="4"/>
    </row>
    <row r="27" spans="3:12" x14ac:dyDescent="0.35">
      <c r="C27" s="23"/>
      <c r="E27" s="2"/>
      <c r="F27" s="9"/>
      <c r="G27" s="2"/>
      <c r="J27" s="11"/>
      <c r="K27" s="9"/>
      <c r="L27" s="4"/>
    </row>
    <row r="28" spans="3:12" x14ac:dyDescent="0.35">
      <c r="C28" s="23"/>
      <c r="E28" s="2"/>
      <c r="F28" s="9"/>
      <c r="G28" s="2"/>
      <c r="J28" s="11"/>
      <c r="K28" s="9"/>
      <c r="L28" s="4"/>
    </row>
    <row r="29" spans="3:12" x14ac:dyDescent="0.35">
      <c r="C29" s="23"/>
      <c r="E29" s="2"/>
      <c r="F29" s="9"/>
      <c r="G29" s="2"/>
      <c r="J29" s="11"/>
      <c r="K29" s="9"/>
      <c r="L29" s="4"/>
    </row>
    <row r="30" spans="3:12" x14ac:dyDescent="0.35">
      <c r="C30" s="23"/>
      <c r="E30" s="2"/>
      <c r="F30" s="9"/>
      <c r="G30" s="2"/>
      <c r="J30" s="11"/>
      <c r="K30" s="9"/>
      <c r="L30" s="2"/>
    </row>
    <row r="31" spans="3:12" x14ac:dyDescent="0.35">
      <c r="C31" s="23"/>
      <c r="E31" s="2"/>
      <c r="F31" s="9"/>
      <c r="G31" s="2"/>
      <c r="J31" s="11"/>
      <c r="K31" s="9"/>
      <c r="L31" s="2"/>
    </row>
    <row r="32" spans="3:12" x14ac:dyDescent="0.35">
      <c r="C32" s="23"/>
      <c r="E32" s="2"/>
      <c r="F32" s="9"/>
      <c r="G32" s="2"/>
      <c r="J32" s="11"/>
      <c r="K32" s="9"/>
      <c r="L32" s="2"/>
    </row>
    <row r="33" spans="3:12" x14ac:dyDescent="0.35">
      <c r="C33" s="23"/>
      <c r="E33" s="2"/>
      <c r="F33" s="9"/>
      <c r="G33" s="2"/>
      <c r="J33" s="11"/>
      <c r="K33" s="9"/>
      <c r="L33" s="2"/>
    </row>
    <row r="34" spans="3:12" x14ac:dyDescent="0.35">
      <c r="C34" s="23"/>
      <c r="E34" s="2"/>
      <c r="F34" s="9"/>
      <c r="G34" s="2"/>
      <c r="J34" s="11"/>
      <c r="K34" s="9"/>
      <c r="L34" s="2"/>
    </row>
    <row r="35" spans="3:12" x14ac:dyDescent="0.35">
      <c r="C35" s="23"/>
      <c r="E35" s="2"/>
      <c r="F35" s="9"/>
      <c r="G35" s="2"/>
      <c r="J35" s="11"/>
      <c r="K35" s="9"/>
      <c r="L35" s="2"/>
    </row>
    <row r="36" spans="3:12" x14ac:dyDescent="0.35">
      <c r="C36" s="23"/>
      <c r="E36" s="2"/>
      <c r="F36" s="9"/>
      <c r="G36" s="2"/>
      <c r="J36" s="11"/>
      <c r="K36" s="9"/>
      <c r="L36" s="2"/>
    </row>
    <row r="37" spans="3:12" x14ac:dyDescent="0.35">
      <c r="E37" s="2"/>
      <c r="F37" s="9"/>
      <c r="G37" s="2"/>
      <c r="J37" s="11"/>
      <c r="K37" s="9"/>
      <c r="L37" s="2"/>
    </row>
    <row r="38" spans="3:12" x14ac:dyDescent="0.35">
      <c r="E38" s="2"/>
      <c r="F38" s="9"/>
      <c r="G38" s="2"/>
      <c r="J38" s="11"/>
      <c r="K38" s="9"/>
      <c r="L38" s="2"/>
    </row>
    <row r="39" spans="3:12" x14ac:dyDescent="0.35">
      <c r="E39" s="2"/>
      <c r="F39" s="9"/>
      <c r="G39" s="2"/>
      <c r="J39" s="11"/>
      <c r="K39" s="9"/>
      <c r="L39" s="2"/>
    </row>
    <row r="40" spans="3:12" x14ac:dyDescent="0.35">
      <c r="E40" s="2"/>
      <c r="F40" s="9"/>
      <c r="G40" s="2"/>
      <c r="J40" s="11"/>
      <c r="K40" s="9"/>
      <c r="L40" s="2"/>
    </row>
    <row r="41" spans="3:12" x14ac:dyDescent="0.35">
      <c r="E41" s="2"/>
      <c r="F41" s="9"/>
      <c r="G41" s="2"/>
      <c r="J41" s="2"/>
      <c r="K41" s="9"/>
      <c r="L41" s="2"/>
    </row>
    <row r="42" spans="3:12" x14ac:dyDescent="0.35">
      <c r="E42" s="2"/>
      <c r="F42" s="9"/>
      <c r="G42" s="2"/>
      <c r="J42" s="2"/>
      <c r="K42" s="9"/>
      <c r="L42" s="2"/>
    </row>
    <row r="43" spans="3:12" x14ac:dyDescent="0.35">
      <c r="E43" s="2"/>
      <c r="F43" s="9"/>
      <c r="G43" s="2"/>
      <c r="J43" s="2"/>
      <c r="K43" s="9"/>
      <c r="L43" s="2"/>
    </row>
    <row r="44" spans="3:12" ht="15" thickBot="1" x14ac:dyDescent="0.4">
      <c r="E44" s="3"/>
      <c r="F44" s="10"/>
      <c r="G44" s="3"/>
      <c r="J44" s="3"/>
      <c r="K44" s="10"/>
      <c r="L44" s="3"/>
    </row>
  </sheetData>
  <mergeCells count="2">
    <mergeCell ref="E10:G10"/>
    <mergeCell ref="J10:L10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51D7C-48A2-4264-A591-A5BE1589053B}">
  <dimension ref="B1:L44"/>
  <sheetViews>
    <sheetView topLeftCell="C1" workbookViewId="0">
      <selection activeCell="J15" sqref="J15"/>
    </sheetView>
  </sheetViews>
  <sheetFormatPr defaultRowHeight="14.5" x14ac:dyDescent="0.35"/>
  <cols>
    <col min="2" max="2" width="17.81640625" bestFit="1" customWidth="1"/>
    <col min="3" max="3" width="22" customWidth="1"/>
    <col min="5" max="5" width="14.90625" bestFit="1" customWidth="1"/>
    <col min="6" max="6" width="7.81640625" bestFit="1" customWidth="1"/>
    <col min="7" max="7" width="16.36328125" bestFit="1" customWidth="1"/>
    <col min="10" max="10" width="8.453125" customWidth="1"/>
    <col min="11" max="11" width="18.7265625" bestFit="1" customWidth="1"/>
    <col min="12" max="12" width="16.26953125" bestFit="1" customWidth="1"/>
  </cols>
  <sheetData>
    <row r="1" spans="2:12" ht="15" thickBot="1" x14ac:dyDescent="0.4"/>
    <row r="2" spans="2:12" x14ac:dyDescent="0.35">
      <c r="B2" s="20" t="s">
        <v>9</v>
      </c>
      <c r="C2" s="24" t="s">
        <v>158</v>
      </c>
    </row>
    <row r="3" spans="2:12" ht="43.5" x14ac:dyDescent="0.35">
      <c r="B3" s="27" t="s">
        <v>10</v>
      </c>
      <c r="C3" s="28" t="s">
        <v>247</v>
      </c>
    </row>
    <row r="4" spans="2:12" x14ac:dyDescent="0.35">
      <c r="B4" s="21" t="s">
        <v>11</v>
      </c>
      <c r="C4" s="25" t="s">
        <v>199</v>
      </c>
    </row>
    <row r="5" spans="2:12" x14ac:dyDescent="0.35">
      <c r="B5" s="21" t="s">
        <v>12</v>
      </c>
      <c r="C5" s="25" t="s">
        <v>162</v>
      </c>
    </row>
    <row r="6" spans="2:12" x14ac:dyDescent="0.35">
      <c r="B6" s="21" t="s">
        <v>13</v>
      </c>
      <c r="C6" s="25" t="s">
        <v>367</v>
      </c>
    </row>
    <row r="7" spans="2:12" x14ac:dyDescent="0.35">
      <c r="B7" s="21" t="s">
        <v>14</v>
      </c>
      <c r="C7" s="25" t="s">
        <v>161</v>
      </c>
    </row>
    <row r="8" spans="2:12" x14ac:dyDescent="0.35">
      <c r="B8" s="21" t="s">
        <v>31</v>
      </c>
      <c r="C8" s="25" t="s">
        <v>250</v>
      </c>
    </row>
    <row r="9" spans="2:12" ht="15" thickBot="1" x14ac:dyDescent="0.4">
      <c r="B9" s="22" t="s">
        <v>32</v>
      </c>
      <c r="C9" s="26" t="s">
        <v>160</v>
      </c>
    </row>
    <row r="10" spans="2:12" ht="15" thickBot="1" x14ac:dyDescent="0.4">
      <c r="C10" s="23"/>
      <c r="E10" s="111" t="s">
        <v>15</v>
      </c>
      <c r="F10" s="112"/>
      <c r="G10" s="113"/>
      <c r="J10" s="111" t="s">
        <v>16</v>
      </c>
      <c r="K10" s="112"/>
      <c r="L10" s="113"/>
    </row>
    <row r="11" spans="2:12" ht="15" thickBot="1" x14ac:dyDescent="0.4">
      <c r="C11" s="23"/>
      <c r="E11" s="14" t="s">
        <v>0</v>
      </c>
      <c r="F11" s="12" t="s">
        <v>1</v>
      </c>
      <c r="G11" s="14" t="s">
        <v>2</v>
      </c>
      <c r="J11" s="14" t="s">
        <v>0</v>
      </c>
      <c r="K11" s="12" t="s">
        <v>1</v>
      </c>
      <c r="L11" s="14" t="s">
        <v>24</v>
      </c>
    </row>
    <row r="12" spans="2:12" x14ac:dyDescent="0.35">
      <c r="C12" s="23"/>
      <c r="E12" s="4" t="s">
        <v>19</v>
      </c>
      <c r="F12" s="8">
        <v>986.67</v>
      </c>
      <c r="G12" s="4" t="s">
        <v>62</v>
      </c>
      <c r="J12" s="38">
        <v>29.17</v>
      </c>
      <c r="K12" s="8" t="s">
        <v>5</v>
      </c>
      <c r="L12" s="4" t="s">
        <v>25</v>
      </c>
    </row>
    <row r="13" spans="2:12" x14ac:dyDescent="0.35">
      <c r="C13" s="23"/>
      <c r="E13" s="2" t="s">
        <v>163</v>
      </c>
      <c r="F13" s="9">
        <v>300</v>
      </c>
      <c r="G13" s="4" t="s">
        <v>164</v>
      </c>
      <c r="J13" s="38">
        <v>6.25</v>
      </c>
      <c r="K13" s="9" t="s">
        <v>165</v>
      </c>
      <c r="L13" s="4" t="s">
        <v>8</v>
      </c>
    </row>
    <row r="14" spans="2:12" x14ac:dyDescent="0.35">
      <c r="C14" s="23"/>
      <c r="E14" s="2" t="s">
        <v>20</v>
      </c>
      <c r="F14" s="9">
        <v>150</v>
      </c>
      <c r="G14" s="4" t="s">
        <v>23</v>
      </c>
      <c r="J14" s="38">
        <v>12.5</v>
      </c>
      <c r="K14" s="9" t="s">
        <v>166</v>
      </c>
      <c r="L14" s="4" t="s">
        <v>8</v>
      </c>
    </row>
    <row r="15" spans="2:12" x14ac:dyDescent="0.35">
      <c r="C15" s="23"/>
      <c r="E15" s="2" t="s">
        <v>136</v>
      </c>
      <c r="F15" s="9">
        <v>150</v>
      </c>
      <c r="G15" s="2" t="s">
        <v>130</v>
      </c>
      <c r="J15" s="38">
        <f>150-J16-J19</f>
        <v>138.5</v>
      </c>
      <c r="K15" s="9" t="s">
        <v>167</v>
      </c>
      <c r="L15" s="4" t="s">
        <v>8</v>
      </c>
    </row>
    <row r="16" spans="2:12" x14ac:dyDescent="0.35">
      <c r="C16" s="23"/>
      <c r="E16" s="2" t="s">
        <v>18</v>
      </c>
      <c r="F16" s="9">
        <v>400</v>
      </c>
      <c r="G16" s="2" t="s">
        <v>21</v>
      </c>
      <c r="J16" s="38">
        <v>3.13</v>
      </c>
      <c r="K16" s="9" t="s">
        <v>167</v>
      </c>
      <c r="L16" s="4" t="s">
        <v>199</v>
      </c>
    </row>
    <row r="17" spans="3:12" x14ac:dyDescent="0.35">
      <c r="C17" s="23"/>
      <c r="E17" s="2" t="s">
        <v>17</v>
      </c>
      <c r="F17" s="9">
        <v>212.5</v>
      </c>
      <c r="G17" s="2" t="s">
        <v>21</v>
      </c>
      <c r="J17" s="38">
        <f>1+9/16</f>
        <v>1.5625</v>
      </c>
      <c r="K17" s="9" t="s">
        <v>248</v>
      </c>
      <c r="L17" s="4" t="s">
        <v>8</v>
      </c>
    </row>
    <row r="18" spans="3:12" x14ac:dyDescent="0.35">
      <c r="C18" s="23"/>
      <c r="E18" s="2" t="s">
        <v>41</v>
      </c>
      <c r="F18" s="9">
        <f>9+3/8</f>
        <v>9.375</v>
      </c>
      <c r="G18" s="2" t="s">
        <v>33</v>
      </c>
      <c r="J18" s="38">
        <f>1+9/16</f>
        <v>1.5625</v>
      </c>
      <c r="K18" s="9" t="s">
        <v>249</v>
      </c>
      <c r="L18" s="4" t="s">
        <v>8</v>
      </c>
    </row>
    <row r="19" spans="3:12" x14ac:dyDescent="0.35">
      <c r="C19" s="23"/>
      <c r="E19" s="2" t="s">
        <v>53</v>
      </c>
      <c r="F19" s="9">
        <v>2.5</v>
      </c>
      <c r="G19" s="2" t="s">
        <v>50</v>
      </c>
      <c r="J19" s="11">
        <v>8.3699999999999992</v>
      </c>
      <c r="K19" s="9" t="s">
        <v>167</v>
      </c>
      <c r="L19" s="4" t="s">
        <v>251</v>
      </c>
    </row>
    <row r="20" spans="3:12" x14ac:dyDescent="0.35">
      <c r="C20" s="23"/>
      <c r="E20" s="2" t="s">
        <v>150</v>
      </c>
      <c r="F20" s="9">
        <f>1+9/16</f>
        <v>1.5625</v>
      </c>
      <c r="G20" s="2" t="s">
        <v>130</v>
      </c>
      <c r="J20" s="11"/>
      <c r="K20" s="9"/>
      <c r="L20" s="4"/>
    </row>
    <row r="21" spans="3:12" x14ac:dyDescent="0.35">
      <c r="C21" s="23"/>
      <c r="E21" s="2"/>
      <c r="F21" s="9"/>
      <c r="G21" s="2"/>
      <c r="J21" s="11"/>
      <c r="K21" s="9"/>
      <c r="L21" s="4"/>
    </row>
    <row r="22" spans="3:12" x14ac:dyDescent="0.35">
      <c r="C22" s="23"/>
      <c r="E22" s="2"/>
      <c r="F22" s="9"/>
      <c r="G22" s="2"/>
      <c r="J22" s="11"/>
      <c r="K22" s="9"/>
      <c r="L22" s="4"/>
    </row>
    <row r="23" spans="3:12" x14ac:dyDescent="0.35">
      <c r="C23" s="23"/>
      <c r="E23" s="2"/>
      <c r="F23" s="9"/>
      <c r="G23" s="2"/>
      <c r="J23" s="11"/>
      <c r="K23" s="9"/>
      <c r="L23" s="4"/>
    </row>
    <row r="24" spans="3:12" x14ac:dyDescent="0.35">
      <c r="C24" s="23"/>
      <c r="E24" s="2"/>
      <c r="F24" s="9"/>
      <c r="G24" s="2"/>
      <c r="J24" s="11"/>
      <c r="K24" s="9"/>
      <c r="L24" s="4"/>
    </row>
    <row r="25" spans="3:12" x14ac:dyDescent="0.35">
      <c r="C25" s="23"/>
      <c r="E25" s="2"/>
      <c r="F25" s="9"/>
      <c r="G25" s="2"/>
      <c r="J25" s="11"/>
      <c r="K25" s="9"/>
      <c r="L25" s="4"/>
    </row>
    <row r="26" spans="3:12" x14ac:dyDescent="0.35">
      <c r="C26" s="23"/>
      <c r="E26" s="2"/>
      <c r="F26" s="9"/>
      <c r="G26" s="2"/>
      <c r="J26" s="11"/>
      <c r="K26" s="9"/>
      <c r="L26" s="4"/>
    </row>
    <row r="27" spans="3:12" x14ac:dyDescent="0.35">
      <c r="C27" s="23"/>
      <c r="E27" s="2"/>
      <c r="F27" s="9"/>
      <c r="G27" s="2"/>
      <c r="J27" s="11"/>
      <c r="K27" s="9"/>
      <c r="L27" s="4"/>
    </row>
    <row r="28" spans="3:12" x14ac:dyDescent="0.35">
      <c r="C28" s="23"/>
      <c r="E28" s="2"/>
      <c r="F28" s="9"/>
      <c r="G28" s="2"/>
      <c r="J28" s="11"/>
      <c r="K28" s="9"/>
      <c r="L28" s="4"/>
    </row>
    <row r="29" spans="3:12" x14ac:dyDescent="0.35">
      <c r="C29" s="23"/>
      <c r="E29" s="2"/>
      <c r="F29" s="9"/>
      <c r="G29" s="2"/>
      <c r="J29" s="11"/>
      <c r="K29" s="9"/>
      <c r="L29" s="4"/>
    </row>
    <row r="30" spans="3:12" x14ac:dyDescent="0.35">
      <c r="C30" s="23"/>
      <c r="E30" s="2"/>
      <c r="F30" s="9"/>
      <c r="G30" s="2"/>
      <c r="J30" s="11"/>
      <c r="K30" s="9"/>
      <c r="L30" s="2"/>
    </row>
    <row r="31" spans="3:12" x14ac:dyDescent="0.35">
      <c r="C31" s="23"/>
      <c r="E31" s="2"/>
      <c r="F31" s="9"/>
      <c r="G31" s="2"/>
      <c r="J31" s="11"/>
      <c r="K31" s="9"/>
      <c r="L31" s="2"/>
    </row>
    <row r="32" spans="3:12" x14ac:dyDescent="0.35">
      <c r="C32" s="23"/>
      <c r="E32" s="2"/>
      <c r="F32" s="9"/>
      <c r="G32" s="2"/>
      <c r="J32" s="11"/>
      <c r="K32" s="9"/>
      <c r="L32" s="2"/>
    </row>
    <row r="33" spans="3:12" x14ac:dyDescent="0.35">
      <c r="C33" s="23"/>
      <c r="E33" s="2"/>
      <c r="F33" s="9"/>
      <c r="G33" s="2"/>
      <c r="J33" s="11"/>
      <c r="K33" s="9"/>
      <c r="L33" s="2"/>
    </row>
    <row r="34" spans="3:12" x14ac:dyDescent="0.35">
      <c r="C34" s="23"/>
      <c r="E34" s="2"/>
      <c r="F34" s="9"/>
      <c r="G34" s="2"/>
      <c r="J34" s="11"/>
      <c r="K34" s="9"/>
      <c r="L34" s="2"/>
    </row>
    <row r="35" spans="3:12" x14ac:dyDescent="0.35">
      <c r="C35" s="23"/>
      <c r="E35" s="2"/>
      <c r="F35" s="9"/>
      <c r="G35" s="2"/>
      <c r="J35" s="11"/>
      <c r="K35" s="9"/>
      <c r="L35" s="2"/>
    </row>
    <row r="36" spans="3:12" x14ac:dyDescent="0.35">
      <c r="C36" s="23"/>
      <c r="E36" s="2"/>
      <c r="F36" s="9"/>
      <c r="G36" s="2"/>
      <c r="J36" s="11"/>
      <c r="K36" s="9"/>
      <c r="L36" s="2"/>
    </row>
    <row r="37" spans="3:12" x14ac:dyDescent="0.35">
      <c r="E37" s="2"/>
      <c r="F37" s="9"/>
      <c r="G37" s="2"/>
      <c r="J37" s="11"/>
      <c r="K37" s="9"/>
      <c r="L37" s="2"/>
    </row>
    <row r="38" spans="3:12" x14ac:dyDescent="0.35">
      <c r="E38" s="2"/>
      <c r="F38" s="9"/>
      <c r="G38" s="2"/>
      <c r="J38" s="11"/>
      <c r="K38" s="9"/>
      <c r="L38" s="2"/>
    </row>
    <row r="39" spans="3:12" x14ac:dyDescent="0.35">
      <c r="E39" s="2"/>
      <c r="F39" s="9"/>
      <c r="G39" s="2"/>
      <c r="J39" s="11"/>
      <c r="K39" s="9"/>
      <c r="L39" s="2"/>
    </row>
    <row r="40" spans="3:12" x14ac:dyDescent="0.35">
      <c r="E40" s="2"/>
      <c r="F40" s="9"/>
      <c r="G40" s="2"/>
      <c r="J40" s="11"/>
      <c r="K40" s="9"/>
      <c r="L40" s="2"/>
    </row>
    <row r="41" spans="3:12" x14ac:dyDescent="0.35">
      <c r="E41" s="2"/>
      <c r="F41" s="9"/>
      <c r="G41" s="2"/>
      <c r="J41" s="2"/>
      <c r="K41" s="9"/>
      <c r="L41" s="2"/>
    </row>
    <row r="42" spans="3:12" x14ac:dyDescent="0.35">
      <c r="E42" s="2"/>
      <c r="F42" s="9"/>
      <c r="G42" s="2"/>
      <c r="J42" s="2"/>
      <c r="K42" s="9"/>
      <c r="L42" s="2"/>
    </row>
    <row r="43" spans="3:12" x14ac:dyDescent="0.35">
      <c r="E43" s="2"/>
      <c r="F43" s="9"/>
      <c r="G43" s="2"/>
      <c r="J43" s="2"/>
      <c r="K43" s="9"/>
      <c r="L43" s="2"/>
    </row>
    <row r="44" spans="3:12" ht="15" thickBot="1" x14ac:dyDescent="0.4">
      <c r="E44" s="3"/>
      <c r="F44" s="10"/>
      <c r="G44" s="3"/>
      <c r="J44" s="3"/>
      <c r="K44" s="10"/>
      <c r="L44" s="3"/>
    </row>
  </sheetData>
  <mergeCells count="2">
    <mergeCell ref="E10:G10"/>
    <mergeCell ref="J10:L10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86B3A-157D-4021-977B-A5A4DB537283}">
  <dimension ref="D3:M38"/>
  <sheetViews>
    <sheetView topLeftCell="B1" zoomScale="85" zoomScaleNormal="85" workbookViewId="0">
      <selection activeCell="O30" sqref="O30"/>
    </sheetView>
  </sheetViews>
  <sheetFormatPr defaultRowHeight="14.5" x14ac:dyDescent="0.35"/>
  <cols>
    <col min="4" max="4" width="17.81640625" bestFit="1" customWidth="1"/>
    <col min="5" max="5" width="29.6328125" customWidth="1"/>
    <col min="7" max="7" width="14.90625" bestFit="1" customWidth="1"/>
    <col min="8" max="8" width="9.81640625" bestFit="1" customWidth="1"/>
    <col min="9" max="9" width="18.7265625" bestFit="1" customWidth="1"/>
    <col min="11" max="11" width="18.08984375" bestFit="1" customWidth="1"/>
    <col min="12" max="12" width="10.08984375" bestFit="1" customWidth="1"/>
    <col min="13" max="13" width="20.1796875" bestFit="1" customWidth="1"/>
  </cols>
  <sheetData>
    <row r="3" spans="4:13" ht="15" thickBot="1" x14ac:dyDescent="0.4"/>
    <row r="4" spans="4:13" x14ac:dyDescent="0.35">
      <c r="D4" s="16" t="s">
        <v>9</v>
      </c>
      <c r="E4" s="39" t="s">
        <v>169</v>
      </c>
    </row>
    <row r="5" spans="4:13" ht="59.5" customHeight="1" x14ac:dyDescent="0.35">
      <c r="D5" s="49" t="s">
        <v>10</v>
      </c>
      <c r="E5" s="50" t="s">
        <v>260</v>
      </c>
    </row>
    <row r="6" spans="4:13" ht="29" x14ac:dyDescent="0.35">
      <c r="D6" s="17" t="s">
        <v>11</v>
      </c>
      <c r="E6" s="50" t="s">
        <v>531</v>
      </c>
    </row>
    <row r="7" spans="4:13" x14ac:dyDescent="0.35">
      <c r="D7" s="17" t="s">
        <v>12</v>
      </c>
      <c r="E7" s="40"/>
    </row>
    <row r="8" spans="4:13" x14ac:dyDescent="0.35">
      <c r="D8" s="17" t="s">
        <v>13</v>
      </c>
      <c r="E8" s="40" t="s">
        <v>196</v>
      </c>
    </row>
    <row r="9" spans="4:13" x14ac:dyDescent="0.35">
      <c r="D9" s="17" t="s">
        <v>14</v>
      </c>
      <c r="E9" s="40" t="s">
        <v>197</v>
      </c>
    </row>
    <row r="10" spans="4:13" x14ac:dyDescent="0.35">
      <c r="D10" s="17" t="s">
        <v>31</v>
      </c>
      <c r="E10" s="40" t="s">
        <v>51</v>
      </c>
    </row>
    <row r="11" spans="4:13" ht="15" thickBot="1" x14ac:dyDescent="0.4">
      <c r="D11" s="18" t="s">
        <v>32</v>
      </c>
      <c r="E11" s="42" t="s">
        <v>160</v>
      </c>
    </row>
    <row r="12" spans="4:13" ht="15" thickBot="1" x14ac:dyDescent="0.4">
      <c r="G12" s="128" t="s">
        <v>15</v>
      </c>
      <c r="H12" s="129"/>
      <c r="I12" s="130"/>
      <c r="K12" s="111" t="s">
        <v>16</v>
      </c>
      <c r="L12" s="112"/>
      <c r="M12" s="113"/>
    </row>
    <row r="13" spans="4:13" ht="15" thickBot="1" x14ac:dyDescent="0.4">
      <c r="G13" s="51" t="s">
        <v>0</v>
      </c>
      <c r="H13" s="52" t="s">
        <v>1</v>
      </c>
      <c r="I13" s="53" t="s">
        <v>2</v>
      </c>
      <c r="K13" s="54" t="s">
        <v>0</v>
      </c>
      <c r="L13" s="54" t="s">
        <v>1</v>
      </c>
      <c r="M13" s="55" t="s">
        <v>24</v>
      </c>
    </row>
    <row r="14" spans="4:13" x14ac:dyDescent="0.35">
      <c r="G14" s="5" t="s">
        <v>150</v>
      </c>
      <c r="H14" s="4">
        <v>0.3</v>
      </c>
      <c r="I14" s="41" t="s">
        <v>130</v>
      </c>
      <c r="K14" s="19" t="s">
        <v>172</v>
      </c>
      <c r="L14" s="46">
        <v>2</v>
      </c>
      <c r="M14" s="39" t="s">
        <v>8</v>
      </c>
    </row>
    <row r="15" spans="4:13" x14ac:dyDescent="0.35">
      <c r="G15" s="6" t="s">
        <v>103</v>
      </c>
      <c r="H15" s="2">
        <v>2.8</v>
      </c>
      <c r="I15" s="40" t="s">
        <v>106</v>
      </c>
      <c r="K15" s="2" t="s">
        <v>173</v>
      </c>
      <c r="L15" s="6">
        <v>2</v>
      </c>
      <c r="M15" s="40" t="s">
        <v>8</v>
      </c>
    </row>
    <row r="16" spans="4:13" x14ac:dyDescent="0.35">
      <c r="G16" s="6" t="s">
        <v>87</v>
      </c>
      <c r="H16" s="2">
        <v>7.35</v>
      </c>
      <c r="I16" s="40" t="s">
        <v>130</v>
      </c>
      <c r="K16" s="2" t="s">
        <v>174</v>
      </c>
      <c r="L16" s="6">
        <v>2</v>
      </c>
      <c r="M16" s="40" t="s">
        <v>8</v>
      </c>
    </row>
    <row r="17" spans="7:13" x14ac:dyDescent="0.35">
      <c r="G17" s="6" t="s">
        <v>53</v>
      </c>
      <c r="H17" s="2">
        <v>9.6</v>
      </c>
      <c r="I17" s="40" t="s">
        <v>50</v>
      </c>
      <c r="K17" s="2" t="s">
        <v>175</v>
      </c>
      <c r="L17" s="6">
        <v>2.5</v>
      </c>
      <c r="M17" s="40" t="s">
        <v>8</v>
      </c>
    </row>
    <row r="18" spans="7:13" x14ac:dyDescent="0.35">
      <c r="G18" s="6" t="s">
        <v>43</v>
      </c>
      <c r="H18" s="2">
        <v>13.2</v>
      </c>
      <c r="I18" s="40" t="s">
        <v>44</v>
      </c>
      <c r="K18" s="2" t="s">
        <v>176</v>
      </c>
      <c r="L18" s="6">
        <v>2.5</v>
      </c>
      <c r="M18" s="40" t="s">
        <v>8</v>
      </c>
    </row>
    <row r="19" spans="7:13" x14ac:dyDescent="0.35">
      <c r="G19" s="6" t="s">
        <v>86</v>
      </c>
      <c r="H19" s="2">
        <v>15</v>
      </c>
      <c r="I19" s="40" t="s">
        <v>85</v>
      </c>
      <c r="K19" s="2" t="s">
        <v>177</v>
      </c>
      <c r="L19" s="6">
        <v>5</v>
      </c>
      <c r="M19" s="40" t="s">
        <v>8</v>
      </c>
    </row>
    <row r="20" spans="7:13" x14ac:dyDescent="0.35">
      <c r="G20" s="6" t="s">
        <v>18</v>
      </c>
      <c r="H20" s="2">
        <v>30.4666</v>
      </c>
      <c r="I20" s="40" t="s">
        <v>198</v>
      </c>
      <c r="K20" s="2" t="s">
        <v>178</v>
      </c>
      <c r="L20" s="6">
        <v>5</v>
      </c>
      <c r="M20" s="40" t="s">
        <v>8</v>
      </c>
    </row>
    <row r="21" spans="7:13" x14ac:dyDescent="0.35">
      <c r="G21" s="6" t="s">
        <v>17</v>
      </c>
      <c r="H21" s="2">
        <v>30.4666</v>
      </c>
      <c r="I21" s="40" t="s">
        <v>198</v>
      </c>
      <c r="K21" s="2" t="s">
        <v>179</v>
      </c>
      <c r="L21" s="6">
        <v>5</v>
      </c>
      <c r="M21" s="40" t="s">
        <v>8</v>
      </c>
    </row>
    <row r="22" spans="7:13" x14ac:dyDescent="0.35">
      <c r="G22" s="6" t="s">
        <v>41</v>
      </c>
      <c r="H22" s="2">
        <v>150</v>
      </c>
      <c r="I22" s="40" t="s">
        <v>33</v>
      </c>
      <c r="K22" s="2" t="s">
        <v>180</v>
      </c>
      <c r="L22" s="6">
        <v>5</v>
      </c>
      <c r="M22" s="40" t="s">
        <v>8</v>
      </c>
    </row>
    <row r="23" spans="7:13" x14ac:dyDescent="0.35">
      <c r="G23" s="6" t="s">
        <v>20</v>
      </c>
      <c r="H23" s="2">
        <v>150</v>
      </c>
      <c r="I23" s="40" t="s">
        <v>23</v>
      </c>
      <c r="K23" s="2" t="s">
        <v>181</v>
      </c>
      <c r="L23" s="6">
        <v>5</v>
      </c>
      <c r="M23" s="40" t="s">
        <v>8</v>
      </c>
    </row>
    <row r="24" spans="7:13" ht="15" thickBot="1" x14ac:dyDescent="0.4">
      <c r="G24" s="7" t="s">
        <v>19</v>
      </c>
      <c r="H24" s="3">
        <v>461.41665999999998</v>
      </c>
      <c r="I24" s="42" t="s">
        <v>22</v>
      </c>
      <c r="K24" s="2" t="s">
        <v>182</v>
      </c>
      <c r="L24" s="6">
        <v>5</v>
      </c>
      <c r="M24" s="40" t="s">
        <v>8</v>
      </c>
    </row>
    <row r="25" spans="7:13" x14ac:dyDescent="0.35">
      <c r="K25" s="2" t="s">
        <v>183</v>
      </c>
      <c r="L25" s="6">
        <v>5</v>
      </c>
      <c r="M25" s="40" t="s">
        <v>8</v>
      </c>
    </row>
    <row r="26" spans="7:13" x14ac:dyDescent="0.35">
      <c r="K26" s="2" t="s">
        <v>184</v>
      </c>
      <c r="L26" s="6">
        <v>5</v>
      </c>
      <c r="M26" s="40" t="s">
        <v>8</v>
      </c>
    </row>
    <row r="27" spans="7:13" x14ac:dyDescent="0.35">
      <c r="K27" s="2" t="s">
        <v>185</v>
      </c>
      <c r="L27" s="6">
        <v>11.41666</v>
      </c>
      <c r="M27" s="40" t="s">
        <v>8</v>
      </c>
    </row>
    <row r="28" spans="7:13" x14ac:dyDescent="0.35">
      <c r="K28" s="2" t="s">
        <v>5</v>
      </c>
      <c r="L28" s="6">
        <v>46</v>
      </c>
      <c r="M28" s="40" t="s">
        <v>216</v>
      </c>
    </row>
    <row r="29" spans="7:13" x14ac:dyDescent="0.35">
      <c r="K29" s="2" t="s">
        <v>5</v>
      </c>
      <c r="L29" s="6">
        <f>391+77/120-L30-L28-L33</f>
        <v>115.62946666666664</v>
      </c>
      <c r="M29" s="40" t="s">
        <v>25</v>
      </c>
    </row>
    <row r="30" spans="7:13" x14ac:dyDescent="0.35">
      <c r="K30" s="2" t="s">
        <v>5</v>
      </c>
      <c r="L30" s="6">
        <f>'Tollarian Meltdown'!F21</f>
        <v>191.51220000000001</v>
      </c>
      <c r="M30" s="40" t="s">
        <v>251</v>
      </c>
    </row>
    <row r="31" spans="7:13" x14ac:dyDescent="0.35">
      <c r="K31" s="2" t="s">
        <v>175</v>
      </c>
      <c r="L31" s="6">
        <v>2.5</v>
      </c>
      <c r="M31" s="40" t="s">
        <v>251</v>
      </c>
    </row>
    <row r="32" spans="7:13" x14ac:dyDescent="0.35">
      <c r="K32" s="2" t="s">
        <v>176</v>
      </c>
      <c r="L32" s="6">
        <v>2.5</v>
      </c>
      <c r="M32" s="40" t="s">
        <v>251</v>
      </c>
    </row>
    <row r="33" spans="11:13" x14ac:dyDescent="0.35">
      <c r="K33" s="2" t="s">
        <v>5</v>
      </c>
      <c r="L33" s="6">
        <v>38.5</v>
      </c>
      <c r="M33" s="40" t="s">
        <v>514</v>
      </c>
    </row>
    <row r="34" spans="11:13" x14ac:dyDescent="0.35">
      <c r="K34" s="2"/>
      <c r="L34" s="6"/>
      <c r="M34" s="40"/>
    </row>
    <row r="35" spans="11:13" x14ac:dyDescent="0.35">
      <c r="K35" s="2"/>
      <c r="L35" s="6"/>
      <c r="M35" s="40"/>
    </row>
    <row r="36" spans="11:13" x14ac:dyDescent="0.35">
      <c r="K36" s="2"/>
      <c r="L36" s="6"/>
      <c r="M36" s="40"/>
    </row>
    <row r="37" spans="11:13" x14ac:dyDescent="0.35">
      <c r="K37" s="2"/>
      <c r="L37" s="6"/>
      <c r="M37" s="40"/>
    </row>
    <row r="38" spans="11:13" ht="15" thickBot="1" x14ac:dyDescent="0.4">
      <c r="K38" s="3"/>
      <c r="L38" s="7"/>
      <c r="M38" s="42"/>
    </row>
  </sheetData>
  <mergeCells count="2">
    <mergeCell ref="G12:I12"/>
    <mergeCell ref="K12:M1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E874B-EB1A-40E9-945A-ABFDF311093C}">
  <dimension ref="B1:O44"/>
  <sheetViews>
    <sheetView zoomScale="85" zoomScaleNormal="85" workbookViewId="0">
      <selection activeCell="O27" sqref="O27"/>
    </sheetView>
  </sheetViews>
  <sheetFormatPr defaultColWidth="8.81640625" defaultRowHeight="14.5" x14ac:dyDescent="0.35"/>
  <cols>
    <col min="2" max="2" width="17.81640625" bestFit="1" customWidth="1"/>
    <col min="3" max="3" width="27.7265625" customWidth="1"/>
    <col min="5" max="5" width="14.90625" bestFit="1" customWidth="1"/>
    <col min="6" max="6" width="9.81640625" bestFit="1" customWidth="1"/>
    <col min="7" max="7" width="19.81640625" bestFit="1" customWidth="1"/>
    <col min="10" max="10" width="10.81640625" bestFit="1" customWidth="1"/>
    <col min="11" max="11" width="17.6328125" bestFit="1" customWidth="1"/>
    <col min="12" max="12" width="16.26953125" bestFit="1" customWidth="1"/>
    <col min="17" max="17" width="13.08984375" customWidth="1"/>
  </cols>
  <sheetData>
    <row r="1" spans="2:15" ht="15" thickBot="1" x14ac:dyDescent="0.4"/>
    <row r="2" spans="2:15" x14ac:dyDescent="0.35">
      <c r="B2" s="20" t="s">
        <v>9</v>
      </c>
      <c r="C2" s="24" t="s">
        <v>187</v>
      </c>
    </row>
    <row r="3" spans="2:15" x14ac:dyDescent="0.35">
      <c r="B3" s="27" t="s">
        <v>10</v>
      </c>
      <c r="C3" s="45" t="s">
        <v>130</v>
      </c>
    </row>
    <row r="4" spans="2:15" ht="54.5" customHeight="1" x14ac:dyDescent="0.35">
      <c r="B4" s="21" t="s">
        <v>11</v>
      </c>
      <c r="C4" s="56" t="s">
        <v>450</v>
      </c>
    </row>
    <row r="5" spans="2:15" x14ac:dyDescent="0.35">
      <c r="B5" s="21" t="s">
        <v>12</v>
      </c>
      <c r="C5" s="25" t="s">
        <v>188</v>
      </c>
    </row>
    <row r="6" spans="2:15" x14ac:dyDescent="0.35">
      <c r="B6" s="21" t="s">
        <v>13</v>
      </c>
      <c r="C6" s="25" t="s">
        <v>365</v>
      </c>
      <c r="F6">
        <f>5800/4352.7</f>
        <v>1.3325062604819997</v>
      </c>
    </row>
    <row r="7" spans="2:15" x14ac:dyDescent="0.35">
      <c r="B7" s="21" t="s">
        <v>14</v>
      </c>
      <c r="C7" s="25" t="s">
        <v>366</v>
      </c>
    </row>
    <row r="8" spans="2:15" x14ac:dyDescent="0.35">
      <c r="B8" s="21" t="s">
        <v>31</v>
      </c>
      <c r="C8" s="25" t="s">
        <v>189</v>
      </c>
    </row>
    <row r="9" spans="2:15" ht="15" thickBot="1" x14ac:dyDescent="0.4">
      <c r="B9" s="22" t="s">
        <v>32</v>
      </c>
      <c r="C9" s="26" t="s">
        <v>190</v>
      </c>
    </row>
    <row r="10" spans="2:15" ht="15" thickBot="1" x14ac:dyDescent="0.4">
      <c r="C10" s="23"/>
      <c r="E10" s="111" t="s">
        <v>15</v>
      </c>
      <c r="F10" s="112"/>
      <c r="G10" s="113"/>
      <c r="J10" s="111" t="s">
        <v>16</v>
      </c>
      <c r="K10" s="112"/>
      <c r="L10" s="113"/>
    </row>
    <row r="11" spans="2:15" ht="15" thickBot="1" x14ac:dyDescent="0.4">
      <c r="C11" s="23"/>
      <c r="E11" s="14" t="s">
        <v>0</v>
      </c>
      <c r="F11" s="12" t="s">
        <v>1</v>
      </c>
      <c r="G11" s="14" t="s">
        <v>2</v>
      </c>
      <c r="J11" s="14" t="s">
        <v>0</v>
      </c>
      <c r="K11" s="12" t="s">
        <v>1</v>
      </c>
      <c r="L11" s="14" t="s">
        <v>24</v>
      </c>
    </row>
    <row r="12" spans="2:15" ht="15" thickBot="1" x14ac:dyDescent="0.4">
      <c r="C12" s="23"/>
      <c r="E12" s="4" t="s">
        <v>61</v>
      </c>
      <c r="F12" s="8">
        <v>2214.2849999999999</v>
      </c>
      <c r="G12" s="4" t="s">
        <v>21</v>
      </c>
      <c r="J12" s="38">
        <f>2480-J13-J14-J15-J16-J17-J18</f>
        <v>57.411111111111097</v>
      </c>
      <c r="K12" s="8" t="s">
        <v>136</v>
      </c>
      <c r="L12" s="4" t="s">
        <v>25</v>
      </c>
    </row>
    <row r="13" spans="2:15" ht="15" thickBot="1" x14ac:dyDescent="0.4">
      <c r="C13" s="23"/>
      <c r="E13" s="2" t="s">
        <v>18</v>
      </c>
      <c r="F13" s="9">
        <v>620</v>
      </c>
      <c r="G13" s="4" t="s">
        <v>21</v>
      </c>
      <c r="J13" s="38">
        <v>515</v>
      </c>
      <c r="K13" s="9" t="s">
        <v>136</v>
      </c>
      <c r="L13" s="4" t="s">
        <v>199</v>
      </c>
      <c r="N13" s="47" t="s">
        <v>200</v>
      </c>
      <c r="O13" s="14" t="s">
        <v>25</v>
      </c>
    </row>
    <row r="14" spans="2:15" x14ac:dyDescent="0.35">
      <c r="C14" s="23"/>
      <c r="E14" s="2" t="s">
        <v>88</v>
      </c>
      <c r="F14" s="9">
        <v>1148.5714</v>
      </c>
      <c r="G14" s="4" t="s">
        <v>21</v>
      </c>
      <c r="J14" s="38">
        <f>66+2/3</f>
        <v>66.666666666666671</v>
      </c>
      <c r="K14" s="9" t="s">
        <v>136</v>
      </c>
      <c r="L14" s="4" t="s">
        <v>229</v>
      </c>
      <c r="N14" s="5">
        <v>1</v>
      </c>
      <c r="O14" s="4">
        <v>0</v>
      </c>
    </row>
    <row r="15" spans="2:15" x14ac:dyDescent="0.35">
      <c r="C15" s="23"/>
      <c r="E15" s="2" t="s">
        <v>88</v>
      </c>
      <c r="F15" s="9">
        <v>180</v>
      </c>
      <c r="G15" s="2" t="s">
        <v>191</v>
      </c>
      <c r="J15" s="38">
        <f>734+32/45</f>
        <v>734.71111111111111</v>
      </c>
      <c r="K15" s="9" t="s">
        <v>136</v>
      </c>
      <c r="L15" s="4" t="s">
        <v>251</v>
      </c>
      <c r="N15" s="6">
        <v>2</v>
      </c>
      <c r="O15" s="2">
        <f>J12</f>
        <v>57.411111111111097</v>
      </c>
    </row>
    <row r="16" spans="2:15" x14ac:dyDescent="0.35">
      <c r="C16" s="23"/>
      <c r="E16" s="2" t="s">
        <v>17</v>
      </c>
      <c r="F16" s="9">
        <v>1240</v>
      </c>
      <c r="G16" s="2" t="s">
        <v>21</v>
      </c>
      <c r="J16" s="38">
        <f>543+28/45</f>
        <v>543.62222222222226</v>
      </c>
      <c r="K16" s="9" t="s">
        <v>136</v>
      </c>
      <c r="L16" s="4" t="s">
        <v>375</v>
      </c>
      <c r="N16" s="6">
        <v>3</v>
      </c>
      <c r="O16" s="2">
        <v>0</v>
      </c>
    </row>
    <row r="17" spans="3:15" ht="15" thickBot="1" x14ac:dyDescent="0.4">
      <c r="C17" s="23"/>
      <c r="E17" s="2" t="s">
        <v>19</v>
      </c>
      <c r="F17" s="9">
        <v>744</v>
      </c>
      <c r="G17" s="4" t="s">
        <v>21</v>
      </c>
      <c r="J17" s="38">
        <v>281.7</v>
      </c>
      <c r="K17" s="9" t="s">
        <v>136</v>
      </c>
      <c r="L17" s="4" t="s">
        <v>414</v>
      </c>
      <c r="N17" s="7">
        <v>4</v>
      </c>
      <c r="O17" s="3">
        <v>0</v>
      </c>
    </row>
    <row r="18" spans="3:15" x14ac:dyDescent="0.35">
      <c r="C18" s="23"/>
      <c r="E18" s="2" t="s">
        <v>131</v>
      </c>
      <c r="F18" s="9">
        <v>1680</v>
      </c>
      <c r="G18" s="2" t="s">
        <v>21</v>
      </c>
      <c r="J18" s="38">
        <f>280 + 8/9</f>
        <v>280.88888888888891</v>
      </c>
      <c r="K18" s="9" t="s">
        <v>136</v>
      </c>
      <c r="L18" s="4" t="s">
        <v>442</v>
      </c>
    </row>
    <row r="19" spans="3:15" x14ac:dyDescent="0.35">
      <c r="C19" s="23"/>
      <c r="E19" s="2" t="s">
        <v>131</v>
      </c>
      <c r="F19" s="9">
        <v>180</v>
      </c>
      <c r="G19" s="2" t="s">
        <v>191</v>
      </c>
      <c r="J19" s="11"/>
      <c r="K19" s="9"/>
      <c r="L19" s="4"/>
    </row>
    <row r="20" spans="3:15" x14ac:dyDescent="0.35">
      <c r="C20" s="23"/>
      <c r="E20" s="2"/>
      <c r="F20" s="9"/>
      <c r="G20" s="2"/>
      <c r="J20" s="11"/>
      <c r="K20" s="9"/>
      <c r="L20" s="4"/>
    </row>
    <row r="21" spans="3:15" x14ac:dyDescent="0.35">
      <c r="C21" s="23"/>
      <c r="E21" s="2"/>
      <c r="F21" s="9"/>
      <c r="G21" s="2"/>
      <c r="J21" s="11"/>
      <c r="K21" s="9"/>
      <c r="L21" s="4"/>
    </row>
    <row r="22" spans="3:15" x14ac:dyDescent="0.35">
      <c r="C22" s="23"/>
      <c r="E22" s="2"/>
      <c r="F22" s="9"/>
      <c r="G22" s="2"/>
      <c r="J22" s="11"/>
      <c r="K22" s="9"/>
      <c r="L22" s="4"/>
    </row>
    <row r="23" spans="3:15" x14ac:dyDescent="0.35">
      <c r="C23" s="23"/>
      <c r="E23" s="2"/>
      <c r="F23" s="9"/>
      <c r="G23" s="2"/>
      <c r="J23" s="11"/>
      <c r="K23" s="9"/>
      <c r="L23" s="4"/>
    </row>
    <row r="24" spans="3:15" x14ac:dyDescent="0.35">
      <c r="C24" s="23"/>
      <c r="E24" s="2"/>
      <c r="F24" s="9"/>
      <c r="G24" s="2"/>
      <c r="J24" s="11"/>
      <c r="K24" s="9"/>
      <c r="L24" s="4"/>
    </row>
    <row r="25" spans="3:15" x14ac:dyDescent="0.35">
      <c r="C25" s="23"/>
      <c r="E25" s="2"/>
      <c r="F25" s="9"/>
      <c r="G25" s="2"/>
      <c r="J25" s="11"/>
      <c r="K25" s="9"/>
      <c r="L25" s="4"/>
    </row>
    <row r="26" spans="3:15" x14ac:dyDescent="0.35">
      <c r="C26" s="23"/>
      <c r="E26" s="2"/>
      <c r="F26" s="9"/>
      <c r="G26" s="2"/>
      <c r="J26" s="11"/>
      <c r="K26" s="9"/>
      <c r="L26" s="4"/>
    </row>
    <row r="27" spans="3:15" x14ac:dyDescent="0.35">
      <c r="C27" s="23"/>
      <c r="E27" s="2"/>
      <c r="F27" s="9"/>
      <c r="G27" s="2"/>
      <c r="J27" s="11"/>
      <c r="K27" s="9"/>
      <c r="L27" s="4"/>
    </row>
    <row r="28" spans="3:15" x14ac:dyDescent="0.35">
      <c r="C28" s="23"/>
      <c r="E28" s="2"/>
      <c r="F28" s="9"/>
      <c r="G28" s="2"/>
      <c r="J28" s="11"/>
      <c r="K28" s="9"/>
      <c r="L28" s="4"/>
    </row>
    <row r="29" spans="3:15" x14ac:dyDescent="0.35">
      <c r="C29" s="23"/>
      <c r="E29" s="2"/>
      <c r="F29" s="9"/>
      <c r="G29" s="2"/>
      <c r="J29" s="11"/>
      <c r="K29" s="9"/>
      <c r="L29" s="4"/>
    </row>
    <row r="30" spans="3:15" x14ac:dyDescent="0.35">
      <c r="C30" s="23"/>
      <c r="E30" s="2"/>
      <c r="F30" s="9"/>
      <c r="G30" s="2"/>
      <c r="J30" s="11"/>
      <c r="K30" s="9"/>
      <c r="L30" s="2"/>
    </row>
    <row r="31" spans="3:15" x14ac:dyDescent="0.35">
      <c r="C31" s="23"/>
      <c r="E31" s="2"/>
      <c r="F31" s="9"/>
      <c r="G31" s="2"/>
      <c r="J31" s="11"/>
      <c r="K31" s="9"/>
      <c r="L31" s="2"/>
    </row>
    <row r="32" spans="3:15" x14ac:dyDescent="0.35">
      <c r="C32" s="23"/>
      <c r="E32" s="2"/>
      <c r="F32" s="9"/>
      <c r="G32" s="2"/>
      <c r="J32" s="11"/>
      <c r="K32" s="9"/>
      <c r="L32" s="2"/>
    </row>
    <row r="33" spans="3:12" x14ac:dyDescent="0.35">
      <c r="C33" s="23"/>
      <c r="E33" s="2"/>
      <c r="F33" s="9"/>
      <c r="G33" s="2"/>
      <c r="J33" s="11"/>
      <c r="K33" s="9"/>
      <c r="L33" s="2"/>
    </row>
    <row r="34" spans="3:12" x14ac:dyDescent="0.35">
      <c r="C34" s="23"/>
      <c r="E34" s="2"/>
      <c r="F34" s="9"/>
      <c r="G34" s="2"/>
      <c r="J34" s="11"/>
      <c r="K34" s="9"/>
      <c r="L34" s="2"/>
    </row>
    <row r="35" spans="3:12" x14ac:dyDescent="0.35">
      <c r="C35" s="23"/>
      <c r="E35" s="2"/>
      <c r="F35" s="9"/>
      <c r="G35" s="2"/>
      <c r="J35" s="11"/>
      <c r="K35" s="9"/>
      <c r="L35" s="2"/>
    </row>
    <row r="36" spans="3:12" x14ac:dyDescent="0.35">
      <c r="C36" s="23"/>
      <c r="E36" s="2"/>
      <c r="F36" s="9"/>
      <c r="G36" s="2"/>
      <c r="J36" s="11"/>
      <c r="K36" s="9"/>
      <c r="L36" s="2"/>
    </row>
    <row r="37" spans="3:12" x14ac:dyDescent="0.35">
      <c r="E37" s="2"/>
      <c r="F37" s="9"/>
      <c r="G37" s="2"/>
      <c r="J37" s="11"/>
      <c r="K37" s="9"/>
      <c r="L37" s="2"/>
    </row>
    <row r="38" spans="3:12" x14ac:dyDescent="0.35">
      <c r="E38" s="2"/>
      <c r="F38" s="9"/>
      <c r="G38" s="2"/>
      <c r="J38" s="11"/>
      <c r="K38" s="9"/>
      <c r="L38" s="2"/>
    </row>
    <row r="39" spans="3:12" x14ac:dyDescent="0.35">
      <c r="E39" s="2"/>
      <c r="F39" s="9"/>
      <c r="G39" s="2"/>
      <c r="J39" s="11"/>
      <c r="K39" s="9"/>
      <c r="L39" s="2"/>
    </row>
    <row r="40" spans="3:12" x14ac:dyDescent="0.35">
      <c r="E40" s="2"/>
      <c r="F40" s="9"/>
      <c r="G40" s="2"/>
      <c r="J40" s="11"/>
      <c r="K40" s="9"/>
      <c r="L40" s="2"/>
    </row>
    <row r="41" spans="3:12" x14ac:dyDescent="0.35">
      <c r="E41" s="2"/>
      <c r="F41" s="9"/>
      <c r="G41" s="2"/>
      <c r="J41" s="2"/>
      <c r="K41" s="9"/>
      <c r="L41" s="2"/>
    </row>
    <row r="42" spans="3:12" x14ac:dyDescent="0.35">
      <c r="E42" s="2"/>
      <c r="F42" s="9"/>
      <c r="G42" s="2"/>
      <c r="J42" s="2"/>
      <c r="K42" s="9"/>
      <c r="L42" s="2"/>
    </row>
    <row r="43" spans="3:12" x14ac:dyDescent="0.35">
      <c r="E43" s="2"/>
      <c r="F43" s="9"/>
      <c r="G43" s="2"/>
      <c r="J43" s="2"/>
      <c r="K43" s="9"/>
      <c r="L43" s="2"/>
    </row>
    <row r="44" spans="3:12" ht="15" thickBot="1" x14ac:dyDescent="0.4">
      <c r="E44" s="3"/>
      <c r="F44" s="10"/>
      <c r="G44" s="3"/>
      <c r="J44" s="3"/>
      <c r="K44" s="10"/>
      <c r="L44" s="3"/>
    </row>
  </sheetData>
  <mergeCells count="2">
    <mergeCell ref="E10:G10"/>
    <mergeCell ref="J10:L10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188AE-32E3-44FC-A747-B6B7B3960AE2}">
  <dimension ref="B1:L44"/>
  <sheetViews>
    <sheetView topLeftCell="A3" zoomScale="85" zoomScaleNormal="85" workbookViewId="0">
      <selection activeCell="K52" sqref="K52"/>
    </sheetView>
  </sheetViews>
  <sheetFormatPr defaultRowHeight="14.5" x14ac:dyDescent="0.35"/>
  <cols>
    <col min="2" max="2" width="17.81640625" bestFit="1" customWidth="1"/>
    <col min="3" max="3" width="14.36328125" bestFit="1" customWidth="1"/>
    <col min="5" max="5" width="18.7265625" bestFit="1" customWidth="1"/>
    <col min="6" max="6" width="10.81640625" bestFit="1" customWidth="1"/>
    <col min="7" max="7" width="16.453125" bestFit="1" customWidth="1"/>
    <col min="10" max="10" width="4.81640625" bestFit="1" customWidth="1"/>
    <col min="11" max="11" width="22.54296875" bestFit="1" customWidth="1"/>
    <col min="12" max="12" width="16.26953125" bestFit="1" customWidth="1"/>
  </cols>
  <sheetData>
    <row r="1" spans="2:12" ht="15" thickBot="1" x14ac:dyDescent="0.4"/>
    <row r="2" spans="2:12" x14ac:dyDescent="0.35">
      <c r="B2" s="20" t="s">
        <v>9</v>
      </c>
      <c r="C2" s="24" t="s">
        <v>199</v>
      </c>
    </row>
    <row r="3" spans="2:12" ht="101.5" x14ac:dyDescent="0.35">
      <c r="B3" s="27" t="s">
        <v>10</v>
      </c>
      <c r="C3" s="28" t="s">
        <v>209</v>
      </c>
    </row>
    <row r="4" spans="2:12" x14ac:dyDescent="0.35">
      <c r="B4" s="21" t="s">
        <v>11</v>
      </c>
      <c r="C4" s="25"/>
    </row>
    <row r="5" spans="2:12" x14ac:dyDescent="0.35">
      <c r="B5" s="21" t="s">
        <v>12</v>
      </c>
      <c r="C5" s="25"/>
    </row>
    <row r="6" spans="2:12" x14ac:dyDescent="0.35">
      <c r="B6" s="21" t="s">
        <v>13</v>
      </c>
      <c r="C6" s="25" t="s">
        <v>368</v>
      </c>
    </row>
    <row r="7" spans="2:12" x14ac:dyDescent="0.35">
      <c r="B7" s="21" t="s">
        <v>14</v>
      </c>
      <c r="C7" s="25" t="s">
        <v>369</v>
      </c>
    </row>
    <row r="8" spans="2:12" x14ac:dyDescent="0.35">
      <c r="B8" s="21" t="s">
        <v>31</v>
      </c>
      <c r="C8" s="25" t="s">
        <v>202</v>
      </c>
    </row>
    <row r="9" spans="2:12" ht="15" thickBot="1" x14ac:dyDescent="0.4">
      <c r="B9" s="22" t="s">
        <v>32</v>
      </c>
      <c r="C9" s="26" t="s">
        <v>371</v>
      </c>
    </row>
    <row r="10" spans="2:12" ht="15" thickBot="1" x14ac:dyDescent="0.4">
      <c r="C10" s="23"/>
      <c r="E10" s="111" t="s">
        <v>15</v>
      </c>
      <c r="F10" s="112"/>
      <c r="G10" s="113"/>
      <c r="J10" s="111" t="s">
        <v>16</v>
      </c>
      <c r="K10" s="112"/>
      <c r="L10" s="113"/>
    </row>
    <row r="11" spans="2:12" ht="15" thickBot="1" x14ac:dyDescent="0.4">
      <c r="C11" s="23"/>
      <c r="E11" s="14" t="s">
        <v>0</v>
      </c>
      <c r="F11" s="12" t="s">
        <v>1</v>
      </c>
      <c r="G11" s="14" t="s">
        <v>2</v>
      </c>
      <c r="J11" s="14" t="s">
        <v>0</v>
      </c>
      <c r="K11" s="12" t="s">
        <v>1</v>
      </c>
      <c r="L11" s="14" t="s">
        <v>24</v>
      </c>
    </row>
    <row r="12" spans="2:12" x14ac:dyDescent="0.35">
      <c r="C12" s="23"/>
      <c r="E12" s="4" t="s">
        <v>203</v>
      </c>
      <c r="F12" s="8">
        <v>485.50555000000003</v>
      </c>
      <c r="G12" s="4" t="s">
        <v>60</v>
      </c>
      <c r="J12" s="38">
        <v>5</v>
      </c>
      <c r="K12" s="8" t="s">
        <v>210</v>
      </c>
      <c r="L12" s="4" t="s">
        <v>8</v>
      </c>
    </row>
    <row r="13" spans="2:12" x14ac:dyDescent="0.35">
      <c r="C13" s="23"/>
      <c r="E13" s="2" t="s">
        <v>61</v>
      </c>
      <c r="F13" s="9">
        <v>461.4</v>
      </c>
      <c r="G13" s="4" t="s">
        <v>60</v>
      </c>
      <c r="J13" s="38">
        <v>2.5</v>
      </c>
      <c r="K13" s="9" t="s">
        <v>211</v>
      </c>
      <c r="L13" s="4" t="s">
        <v>8</v>
      </c>
    </row>
    <row r="14" spans="2:12" x14ac:dyDescent="0.35">
      <c r="C14" s="23"/>
      <c r="E14" s="2" t="s">
        <v>49</v>
      </c>
      <c r="F14" s="9">
        <v>421.338888</v>
      </c>
      <c r="G14" s="4" t="s">
        <v>60</v>
      </c>
      <c r="J14" s="38">
        <v>2</v>
      </c>
      <c r="K14" s="9" t="s">
        <v>212</v>
      </c>
      <c r="L14" s="4" t="s">
        <v>8</v>
      </c>
    </row>
    <row r="15" spans="2:12" x14ac:dyDescent="0.35">
      <c r="C15" s="23"/>
      <c r="E15" s="2" t="s">
        <v>87</v>
      </c>
      <c r="F15" s="9">
        <v>176.4</v>
      </c>
      <c r="G15" s="2" t="s">
        <v>130</v>
      </c>
      <c r="J15" s="38">
        <v>2</v>
      </c>
      <c r="K15" s="9" t="s">
        <v>213</v>
      </c>
      <c r="L15" s="4" t="s">
        <v>8</v>
      </c>
    </row>
    <row r="16" spans="2:12" x14ac:dyDescent="0.35">
      <c r="C16" s="23"/>
      <c r="E16" s="2" t="s">
        <v>204</v>
      </c>
      <c r="F16" s="9">
        <v>72</v>
      </c>
      <c r="G16" s="2" t="s">
        <v>85</v>
      </c>
      <c r="J16" s="38">
        <v>2</v>
      </c>
      <c r="K16" s="9" t="s">
        <v>214</v>
      </c>
      <c r="L16" s="4" t="s">
        <v>8</v>
      </c>
    </row>
    <row r="17" spans="3:12" x14ac:dyDescent="0.35">
      <c r="C17" s="23"/>
      <c r="E17" s="2" t="s">
        <v>19</v>
      </c>
      <c r="F17" s="9">
        <v>599.9</v>
      </c>
      <c r="G17" s="2" t="s">
        <v>62</v>
      </c>
      <c r="J17" s="38">
        <v>1</v>
      </c>
      <c r="K17" s="9" t="s">
        <v>215</v>
      </c>
      <c r="L17" s="4" t="s">
        <v>8</v>
      </c>
    </row>
    <row r="18" spans="3:12" x14ac:dyDescent="0.35">
      <c r="C18" s="23"/>
      <c r="E18" s="2" t="s">
        <v>205</v>
      </c>
      <c r="F18" s="9">
        <v>392.66660000000002</v>
      </c>
      <c r="G18" s="2" t="s">
        <v>206</v>
      </c>
      <c r="J18" s="38"/>
      <c r="K18" s="9"/>
      <c r="L18" s="4"/>
    </row>
    <row r="19" spans="3:12" x14ac:dyDescent="0.35">
      <c r="C19" s="23"/>
      <c r="E19" s="2" t="s">
        <v>103</v>
      </c>
      <c r="F19" s="9">
        <v>109.5</v>
      </c>
      <c r="G19" s="2" t="s">
        <v>106</v>
      </c>
      <c r="J19" s="11"/>
      <c r="K19" s="9"/>
      <c r="L19" s="4"/>
    </row>
    <row r="20" spans="3:12" x14ac:dyDescent="0.35">
      <c r="C20" s="23"/>
      <c r="E20" s="2" t="s">
        <v>207</v>
      </c>
      <c r="F20" s="9">
        <v>72</v>
      </c>
      <c r="G20" s="2" t="s">
        <v>50</v>
      </c>
      <c r="J20" s="11"/>
      <c r="K20" s="9"/>
      <c r="L20" s="4"/>
    </row>
    <row r="21" spans="3:12" x14ac:dyDescent="0.35">
      <c r="C21" s="23"/>
      <c r="E21" s="2" t="s">
        <v>208</v>
      </c>
      <c r="F21" s="9">
        <v>515</v>
      </c>
      <c r="G21" s="2" t="s">
        <v>187</v>
      </c>
      <c r="J21" s="11"/>
      <c r="K21" s="9"/>
      <c r="L21" s="4"/>
    </row>
    <row r="22" spans="3:12" x14ac:dyDescent="0.35">
      <c r="C22" s="23"/>
      <c r="E22" s="2" t="s">
        <v>167</v>
      </c>
      <c r="F22" s="9">
        <f>1.55+1.58</f>
        <v>3.13</v>
      </c>
      <c r="G22" s="2" t="s">
        <v>158</v>
      </c>
      <c r="J22" s="11"/>
      <c r="K22" s="9"/>
      <c r="L22" s="4"/>
    </row>
    <row r="23" spans="3:12" x14ac:dyDescent="0.35">
      <c r="C23" s="23"/>
      <c r="E23" s="2"/>
      <c r="F23" s="9"/>
      <c r="G23" s="2"/>
      <c r="J23" s="11"/>
      <c r="K23" s="9"/>
      <c r="L23" s="4"/>
    </row>
    <row r="24" spans="3:12" x14ac:dyDescent="0.35">
      <c r="C24" s="23"/>
      <c r="E24" s="2"/>
      <c r="F24" s="9"/>
      <c r="G24" s="2"/>
      <c r="J24" s="11"/>
      <c r="K24" s="9"/>
      <c r="L24" s="4"/>
    </row>
    <row r="25" spans="3:12" x14ac:dyDescent="0.35">
      <c r="C25" s="23"/>
      <c r="E25" s="2"/>
      <c r="F25" s="9"/>
      <c r="G25" s="2"/>
      <c r="J25" s="11"/>
      <c r="K25" s="9"/>
      <c r="L25" s="4"/>
    </row>
    <row r="26" spans="3:12" x14ac:dyDescent="0.35">
      <c r="C26" s="23"/>
      <c r="E26" s="2"/>
      <c r="F26" s="9"/>
      <c r="G26" s="2"/>
      <c r="J26" s="11"/>
      <c r="K26" s="9"/>
      <c r="L26" s="4"/>
    </row>
    <row r="27" spans="3:12" x14ac:dyDescent="0.35">
      <c r="C27" s="23"/>
      <c r="E27" s="2"/>
      <c r="F27" s="9"/>
      <c r="G27" s="2"/>
      <c r="J27" s="11"/>
      <c r="K27" s="9"/>
      <c r="L27" s="4"/>
    </row>
    <row r="28" spans="3:12" x14ac:dyDescent="0.35">
      <c r="C28" s="23"/>
      <c r="E28" s="2"/>
      <c r="F28" s="9"/>
      <c r="G28" s="2"/>
      <c r="J28" s="11"/>
      <c r="K28" s="9"/>
      <c r="L28" s="4"/>
    </row>
    <row r="29" spans="3:12" x14ac:dyDescent="0.35">
      <c r="C29" s="23"/>
      <c r="E29" s="2"/>
      <c r="F29" s="9"/>
      <c r="G29" s="2"/>
      <c r="J29" s="11"/>
      <c r="K29" s="9"/>
      <c r="L29" s="4"/>
    </row>
    <row r="30" spans="3:12" x14ac:dyDescent="0.35">
      <c r="C30" s="23"/>
      <c r="E30" s="2"/>
      <c r="F30" s="9"/>
      <c r="G30" s="2"/>
      <c r="J30" s="11"/>
      <c r="K30" s="9"/>
      <c r="L30" s="2"/>
    </row>
    <row r="31" spans="3:12" x14ac:dyDescent="0.35">
      <c r="C31" s="23"/>
      <c r="E31" s="2"/>
      <c r="F31" s="9"/>
      <c r="G31" s="2"/>
      <c r="J31" s="11"/>
      <c r="K31" s="9"/>
      <c r="L31" s="2"/>
    </row>
    <row r="32" spans="3:12" x14ac:dyDescent="0.35">
      <c r="C32" s="23"/>
      <c r="E32" s="2"/>
      <c r="F32" s="9"/>
      <c r="G32" s="2"/>
      <c r="J32" s="11"/>
      <c r="K32" s="9"/>
      <c r="L32" s="2"/>
    </row>
    <row r="33" spans="3:12" x14ac:dyDescent="0.35">
      <c r="C33" s="23"/>
      <c r="E33" s="2"/>
      <c r="F33" s="9"/>
      <c r="G33" s="2"/>
      <c r="J33" s="11"/>
      <c r="K33" s="9"/>
      <c r="L33" s="2"/>
    </row>
    <row r="34" spans="3:12" x14ac:dyDescent="0.35">
      <c r="C34" s="23"/>
      <c r="E34" s="2"/>
      <c r="F34" s="9"/>
      <c r="G34" s="2"/>
      <c r="J34" s="11"/>
      <c r="K34" s="9"/>
      <c r="L34" s="2"/>
    </row>
    <row r="35" spans="3:12" x14ac:dyDescent="0.35">
      <c r="C35" s="23"/>
      <c r="E35" s="2"/>
      <c r="F35" s="9"/>
      <c r="G35" s="2"/>
      <c r="J35" s="11"/>
      <c r="K35" s="9"/>
      <c r="L35" s="2"/>
    </row>
    <row r="36" spans="3:12" x14ac:dyDescent="0.35">
      <c r="C36" s="23"/>
      <c r="E36" s="2"/>
      <c r="F36" s="9"/>
      <c r="G36" s="2"/>
      <c r="J36" s="11"/>
      <c r="K36" s="9"/>
      <c r="L36" s="2"/>
    </row>
    <row r="37" spans="3:12" x14ac:dyDescent="0.35">
      <c r="E37" s="2"/>
      <c r="F37" s="9"/>
      <c r="G37" s="2"/>
      <c r="J37" s="11"/>
      <c r="K37" s="9"/>
      <c r="L37" s="2"/>
    </row>
    <row r="38" spans="3:12" x14ac:dyDescent="0.35">
      <c r="E38" s="2"/>
      <c r="F38" s="9"/>
      <c r="G38" s="2"/>
      <c r="J38" s="11"/>
      <c r="K38" s="9"/>
      <c r="L38" s="2"/>
    </row>
    <row r="39" spans="3:12" x14ac:dyDescent="0.35">
      <c r="E39" s="2"/>
      <c r="F39" s="9"/>
      <c r="G39" s="2"/>
      <c r="J39" s="11"/>
      <c r="K39" s="9"/>
      <c r="L39" s="2"/>
    </row>
    <row r="40" spans="3:12" x14ac:dyDescent="0.35">
      <c r="E40" s="2"/>
      <c r="F40" s="9"/>
      <c r="G40" s="2"/>
      <c r="J40" s="11"/>
      <c r="K40" s="9"/>
      <c r="L40" s="2"/>
    </row>
    <row r="41" spans="3:12" x14ac:dyDescent="0.35">
      <c r="E41" s="2"/>
      <c r="F41" s="9"/>
      <c r="G41" s="2"/>
      <c r="J41" s="2"/>
      <c r="K41" s="9"/>
      <c r="L41" s="2"/>
    </row>
    <row r="42" spans="3:12" x14ac:dyDescent="0.35">
      <c r="E42" s="2"/>
      <c r="F42" s="9"/>
      <c r="G42" s="2"/>
      <c r="J42" s="2"/>
      <c r="K42" s="9"/>
      <c r="L42" s="2"/>
    </row>
    <row r="43" spans="3:12" x14ac:dyDescent="0.35">
      <c r="E43" s="2"/>
      <c r="F43" s="9"/>
      <c r="G43" s="2"/>
      <c r="J43" s="2"/>
      <c r="K43" s="9"/>
      <c r="L43" s="2"/>
    </row>
    <row r="44" spans="3:12" ht="15" thickBot="1" x14ac:dyDescent="0.4">
      <c r="E44" s="3"/>
      <c r="F44" s="10"/>
      <c r="G44" s="3"/>
      <c r="J44" s="3"/>
      <c r="K44" s="10"/>
      <c r="L44" s="3"/>
    </row>
  </sheetData>
  <mergeCells count="2">
    <mergeCell ref="E10:G10"/>
    <mergeCell ref="J10:L10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B3A23-66AC-4695-AC89-14BEBEA38B1D}">
  <dimension ref="B1:L44"/>
  <sheetViews>
    <sheetView topLeftCell="B1" workbookViewId="0">
      <selection activeCell="C21" sqref="C21"/>
    </sheetView>
  </sheetViews>
  <sheetFormatPr defaultRowHeight="14.5" x14ac:dyDescent="0.35"/>
  <cols>
    <col min="2" max="2" width="17.81640625" bestFit="1" customWidth="1"/>
    <col min="3" max="3" width="22.54296875" bestFit="1" customWidth="1"/>
    <col min="5" max="5" width="13.36328125" bestFit="1" customWidth="1"/>
    <col min="6" max="6" width="8.81640625" bestFit="1" customWidth="1"/>
    <col min="7" max="7" width="19.7265625" bestFit="1" customWidth="1"/>
    <col min="10" max="10" width="25.1796875" bestFit="1" customWidth="1"/>
    <col min="11" max="11" width="7.36328125" bestFit="1" customWidth="1"/>
    <col min="12" max="12" width="16.26953125" bestFit="1" customWidth="1"/>
  </cols>
  <sheetData>
    <row r="1" spans="2:12" ht="15" thickBot="1" x14ac:dyDescent="0.4"/>
    <row r="2" spans="2:12" x14ac:dyDescent="0.35">
      <c r="B2" s="20" t="s">
        <v>9</v>
      </c>
      <c r="C2" s="24" t="s">
        <v>216</v>
      </c>
    </row>
    <row r="3" spans="2:12" ht="58" x14ac:dyDescent="0.35">
      <c r="B3" s="27" t="s">
        <v>10</v>
      </c>
      <c r="C3" s="31" t="s">
        <v>217</v>
      </c>
    </row>
    <row r="4" spans="2:12" x14ac:dyDescent="0.35">
      <c r="B4" s="21" t="s">
        <v>11</v>
      </c>
      <c r="C4" s="25"/>
    </row>
    <row r="5" spans="2:12" x14ac:dyDescent="0.35">
      <c r="B5" s="21" t="s">
        <v>12</v>
      </c>
      <c r="C5" s="25"/>
    </row>
    <row r="6" spans="2:12" x14ac:dyDescent="0.35">
      <c r="B6" s="21" t="s">
        <v>13</v>
      </c>
      <c r="C6" s="25" t="s">
        <v>218</v>
      </c>
    </row>
    <row r="7" spans="2:12" x14ac:dyDescent="0.35">
      <c r="B7" s="21" t="s">
        <v>14</v>
      </c>
      <c r="C7" s="25" t="s">
        <v>219</v>
      </c>
    </row>
    <row r="8" spans="2:12" x14ac:dyDescent="0.35">
      <c r="B8" s="21" t="s">
        <v>31</v>
      </c>
      <c r="C8" s="25" t="s">
        <v>159</v>
      </c>
    </row>
    <row r="9" spans="2:12" ht="15" thickBot="1" x14ac:dyDescent="0.4">
      <c r="B9" s="22" t="s">
        <v>32</v>
      </c>
      <c r="C9" s="26" t="s">
        <v>220</v>
      </c>
    </row>
    <row r="10" spans="2:12" ht="15" thickBot="1" x14ac:dyDescent="0.4">
      <c r="C10" s="23"/>
      <c r="E10" s="111" t="s">
        <v>15</v>
      </c>
      <c r="F10" s="112"/>
      <c r="G10" s="113"/>
      <c r="J10" s="111" t="s">
        <v>16</v>
      </c>
      <c r="K10" s="112"/>
      <c r="L10" s="113"/>
    </row>
    <row r="11" spans="2:12" ht="15" thickBot="1" x14ac:dyDescent="0.4">
      <c r="C11" s="23"/>
      <c r="E11" s="14" t="s">
        <v>0</v>
      </c>
      <c r="F11" s="12" t="s">
        <v>1</v>
      </c>
      <c r="G11" s="14" t="s">
        <v>2</v>
      </c>
      <c r="J11" s="14" t="s">
        <v>0</v>
      </c>
      <c r="K11" s="12" t="s">
        <v>1</v>
      </c>
      <c r="L11" s="14" t="s">
        <v>24</v>
      </c>
    </row>
    <row r="12" spans="2:12" x14ac:dyDescent="0.35">
      <c r="C12" s="23"/>
      <c r="E12" s="4" t="s">
        <v>41</v>
      </c>
      <c r="F12" s="8">
        <v>12.0138</v>
      </c>
      <c r="G12" s="4" t="s">
        <v>33</v>
      </c>
      <c r="J12" s="38" t="s">
        <v>224</v>
      </c>
      <c r="K12" s="8">
        <f>5/8</f>
        <v>0.625</v>
      </c>
      <c r="L12" s="4" t="s">
        <v>8</v>
      </c>
    </row>
    <row r="13" spans="2:12" x14ac:dyDescent="0.35">
      <c r="C13" s="23"/>
      <c r="E13" s="2" t="s">
        <v>61</v>
      </c>
      <c r="F13" s="9">
        <v>138.01249999999999</v>
      </c>
      <c r="G13" s="4" t="s">
        <v>221</v>
      </c>
      <c r="J13" s="38" t="s">
        <v>225</v>
      </c>
      <c r="K13" s="9">
        <v>1</v>
      </c>
      <c r="L13" s="4" t="s">
        <v>8</v>
      </c>
    </row>
    <row r="14" spans="2:12" x14ac:dyDescent="0.35">
      <c r="C14" s="23"/>
      <c r="E14" s="2" t="s">
        <v>49</v>
      </c>
      <c r="F14" s="9">
        <v>98.243700000000004</v>
      </c>
      <c r="G14" s="4" t="s">
        <v>222</v>
      </c>
      <c r="J14" s="38" t="s">
        <v>226</v>
      </c>
      <c r="K14" s="9">
        <v>0.5</v>
      </c>
      <c r="L14" s="4" t="s">
        <v>8</v>
      </c>
    </row>
    <row r="15" spans="2:12" x14ac:dyDescent="0.35">
      <c r="C15" s="23"/>
      <c r="E15" s="2" t="s">
        <v>87</v>
      </c>
      <c r="F15" s="9">
        <v>28.6</v>
      </c>
      <c r="G15" s="2" t="s">
        <v>130</v>
      </c>
      <c r="J15" s="38" t="s">
        <v>227</v>
      </c>
      <c r="K15" s="9">
        <v>3.5</v>
      </c>
      <c r="L15" s="4" t="s">
        <v>8</v>
      </c>
    </row>
    <row r="16" spans="2:12" x14ac:dyDescent="0.35">
      <c r="C16" s="23"/>
      <c r="E16" s="2" t="s">
        <v>19</v>
      </c>
      <c r="F16" s="9">
        <v>209.1062</v>
      </c>
      <c r="G16" s="2" t="s">
        <v>22</v>
      </c>
      <c r="J16" s="38" t="s">
        <v>228</v>
      </c>
      <c r="K16" s="9">
        <v>0.5</v>
      </c>
      <c r="L16" s="4" t="s">
        <v>8</v>
      </c>
    </row>
    <row r="17" spans="3:12" x14ac:dyDescent="0.35">
      <c r="C17" s="23"/>
      <c r="E17" s="2" t="s">
        <v>205</v>
      </c>
      <c r="F17" s="9">
        <v>110.01</v>
      </c>
      <c r="G17" s="2" t="s">
        <v>55</v>
      </c>
      <c r="J17" s="38"/>
      <c r="K17" s="9"/>
      <c r="L17" s="4"/>
    </row>
    <row r="18" spans="3:12" x14ac:dyDescent="0.35">
      <c r="C18" s="23"/>
      <c r="E18" s="2" t="s">
        <v>5</v>
      </c>
      <c r="F18" s="9">
        <v>46</v>
      </c>
      <c r="G18" s="2" t="s">
        <v>169</v>
      </c>
      <c r="J18" s="38"/>
      <c r="K18" s="9"/>
      <c r="L18" s="4"/>
    </row>
    <row r="19" spans="3:12" x14ac:dyDescent="0.35">
      <c r="C19" s="23"/>
      <c r="E19" s="2" t="s">
        <v>207</v>
      </c>
      <c r="F19" s="9">
        <v>5</v>
      </c>
      <c r="G19" s="2" t="s">
        <v>50</v>
      </c>
      <c r="J19" s="11"/>
      <c r="K19" s="9"/>
      <c r="L19" s="4"/>
    </row>
    <row r="20" spans="3:12" x14ac:dyDescent="0.35">
      <c r="C20" s="23"/>
      <c r="E20" s="2" t="s">
        <v>223</v>
      </c>
      <c r="F20" s="9">
        <v>0.5</v>
      </c>
      <c r="G20" s="2" t="s">
        <v>146</v>
      </c>
      <c r="J20" s="11"/>
      <c r="K20" s="9"/>
      <c r="L20" s="4"/>
    </row>
    <row r="21" spans="3:12" x14ac:dyDescent="0.35">
      <c r="C21" s="23"/>
      <c r="E21" s="2"/>
      <c r="F21" s="9"/>
      <c r="G21" s="2"/>
      <c r="J21" s="11"/>
      <c r="K21" s="9"/>
      <c r="L21" s="4"/>
    </row>
    <row r="22" spans="3:12" x14ac:dyDescent="0.35">
      <c r="C22" s="23"/>
      <c r="E22" s="2"/>
      <c r="F22" s="9"/>
      <c r="G22" s="2"/>
      <c r="J22" s="11"/>
      <c r="K22" s="9"/>
      <c r="L22" s="4"/>
    </row>
    <row r="23" spans="3:12" x14ac:dyDescent="0.35">
      <c r="C23" s="23"/>
      <c r="E23" s="2"/>
      <c r="F23" s="9"/>
      <c r="G23" s="2"/>
      <c r="J23" s="11"/>
      <c r="K23" s="9"/>
      <c r="L23" s="4"/>
    </row>
    <row r="24" spans="3:12" x14ac:dyDescent="0.35">
      <c r="C24" s="23"/>
      <c r="E24" s="2"/>
      <c r="F24" s="9"/>
      <c r="G24" s="2"/>
      <c r="J24" s="11"/>
      <c r="K24" s="9"/>
      <c r="L24" s="4"/>
    </row>
    <row r="25" spans="3:12" x14ac:dyDescent="0.35">
      <c r="C25" s="23"/>
      <c r="E25" s="2"/>
      <c r="F25" s="9"/>
      <c r="G25" s="2"/>
      <c r="J25" s="11"/>
      <c r="K25" s="9"/>
      <c r="L25" s="4"/>
    </row>
    <row r="26" spans="3:12" x14ac:dyDescent="0.35">
      <c r="C26" s="23"/>
      <c r="E26" s="2"/>
      <c r="F26" s="9"/>
      <c r="G26" s="2"/>
      <c r="J26" s="11"/>
      <c r="K26" s="9"/>
      <c r="L26" s="4"/>
    </row>
    <row r="27" spans="3:12" x14ac:dyDescent="0.35">
      <c r="C27" s="23"/>
      <c r="E27" s="2"/>
      <c r="F27" s="9"/>
      <c r="G27" s="2"/>
      <c r="J27" s="11"/>
      <c r="K27" s="9"/>
      <c r="L27" s="4"/>
    </row>
    <row r="28" spans="3:12" x14ac:dyDescent="0.35">
      <c r="C28" s="23"/>
      <c r="E28" s="2"/>
      <c r="F28" s="9"/>
      <c r="G28" s="2"/>
      <c r="J28" s="11"/>
      <c r="K28" s="9"/>
      <c r="L28" s="4"/>
    </row>
    <row r="29" spans="3:12" x14ac:dyDescent="0.35">
      <c r="C29" s="23"/>
      <c r="E29" s="2"/>
      <c r="F29" s="9"/>
      <c r="G29" s="2"/>
      <c r="J29" s="11"/>
      <c r="K29" s="9"/>
      <c r="L29" s="4"/>
    </row>
    <row r="30" spans="3:12" x14ac:dyDescent="0.35">
      <c r="C30" s="23"/>
      <c r="E30" s="2"/>
      <c r="F30" s="9"/>
      <c r="G30" s="2"/>
      <c r="J30" s="11"/>
      <c r="K30" s="9"/>
      <c r="L30" s="2"/>
    </row>
    <row r="31" spans="3:12" x14ac:dyDescent="0.35">
      <c r="C31" s="23"/>
      <c r="E31" s="2"/>
      <c r="F31" s="9"/>
      <c r="G31" s="2"/>
      <c r="J31" s="11"/>
      <c r="K31" s="9"/>
      <c r="L31" s="2"/>
    </row>
    <row r="32" spans="3:12" x14ac:dyDescent="0.35">
      <c r="C32" s="23"/>
      <c r="E32" s="2"/>
      <c r="F32" s="9"/>
      <c r="G32" s="2"/>
      <c r="J32" s="11"/>
      <c r="K32" s="9"/>
      <c r="L32" s="2"/>
    </row>
    <row r="33" spans="3:12" x14ac:dyDescent="0.35">
      <c r="C33" s="23"/>
      <c r="E33" s="2"/>
      <c r="F33" s="9"/>
      <c r="G33" s="2"/>
      <c r="J33" s="11"/>
      <c r="K33" s="9"/>
      <c r="L33" s="2"/>
    </row>
    <row r="34" spans="3:12" x14ac:dyDescent="0.35">
      <c r="C34" s="23"/>
      <c r="E34" s="2"/>
      <c r="F34" s="9"/>
      <c r="G34" s="2"/>
      <c r="J34" s="11"/>
      <c r="K34" s="9"/>
      <c r="L34" s="2"/>
    </row>
    <row r="35" spans="3:12" x14ac:dyDescent="0.35">
      <c r="C35" s="23"/>
      <c r="E35" s="2"/>
      <c r="F35" s="9"/>
      <c r="G35" s="2"/>
      <c r="J35" s="11"/>
      <c r="K35" s="9"/>
      <c r="L35" s="2"/>
    </row>
    <row r="36" spans="3:12" x14ac:dyDescent="0.35">
      <c r="C36" s="23"/>
      <c r="E36" s="2"/>
      <c r="F36" s="9"/>
      <c r="G36" s="2"/>
      <c r="J36" s="11"/>
      <c r="K36" s="9"/>
      <c r="L36" s="2"/>
    </row>
    <row r="37" spans="3:12" x14ac:dyDescent="0.35">
      <c r="E37" s="2"/>
      <c r="F37" s="9"/>
      <c r="G37" s="2"/>
      <c r="J37" s="11"/>
      <c r="K37" s="9"/>
      <c r="L37" s="2"/>
    </row>
    <row r="38" spans="3:12" x14ac:dyDescent="0.35">
      <c r="E38" s="2"/>
      <c r="F38" s="9"/>
      <c r="G38" s="2"/>
      <c r="J38" s="11"/>
      <c r="K38" s="9"/>
      <c r="L38" s="2"/>
    </row>
    <row r="39" spans="3:12" x14ac:dyDescent="0.35">
      <c r="E39" s="2"/>
      <c r="F39" s="9"/>
      <c r="G39" s="2"/>
      <c r="J39" s="11"/>
      <c r="K39" s="9"/>
      <c r="L39" s="2"/>
    </row>
    <row r="40" spans="3:12" x14ac:dyDescent="0.35">
      <c r="E40" s="2"/>
      <c r="F40" s="9"/>
      <c r="G40" s="2"/>
      <c r="J40" s="11"/>
      <c r="K40" s="9"/>
      <c r="L40" s="2"/>
    </row>
    <row r="41" spans="3:12" x14ac:dyDescent="0.35">
      <c r="E41" s="2"/>
      <c r="F41" s="9"/>
      <c r="G41" s="2"/>
      <c r="J41" s="2"/>
      <c r="K41" s="9"/>
      <c r="L41" s="2"/>
    </row>
    <row r="42" spans="3:12" x14ac:dyDescent="0.35">
      <c r="E42" s="2"/>
      <c r="F42" s="9"/>
      <c r="G42" s="2"/>
      <c r="J42" s="2"/>
      <c r="K42" s="9"/>
      <c r="L42" s="2"/>
    </row>
    <row r="43" spans="3:12" x14ac:dyDescent="0.35">
      <c r="E43" s="2"/>
      <c r="F43" s="9"/>
      <c r="G43" s="2"/>
      <c r="J43" s="2"/>
      <c r="K43" s="9"/>
      <c r="L43" s="2"/>
    </row>
    <row r="44" spans="3:12" ht="15" thickBot="1" x14ac:dyDescent="0.4">
      <c r="E44" s="3"/>
      <c r="F44" s="10"/>
      <c r="G44" s="3"/>
      <c r="J44" s="3"/>
      <c r="K44" s="10"/>
      <c r="L44" s="3"/>
    </row>
  </sheetData>
  <mergeCells count="2">
    <mergeCell ref="E10:G10"/>
    <mergeCell ref="J10:L10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FA6DD-AC17-49B1-B5E4-69C720E1D60E}">
  <dimension ref="B1:L47"/>
  <sheetViews>
    <sheetView topLeftCell="H1" zoomScaleNormal="100" workbookViewId="0">
      <selection activeCell="B2" sqref="B2:L47"/>
    </sheetView>
  </sheetViews>
  <sheetFormatPr defaultRowHeight="14.5" x14ac:dyDescent="0.35"/>
  <cols>
    <col min="2" max="2" width="34.453125" bestFit="1" customWidth="1"/>
    <col min="3" max="3" width="29.6328125" bestFit="1" customWidth="1"/>
    <col min="5" max="5" width="18.7265625" bestFit="1" customWidth="1"/>
    <col min="6" max="6" width="10.81640625" bestFit="1" customWidth="1"/>
    <col min="7" max="7" width="22.08984375" bestFit="1" customWidth="1"/>
    <col min="10" max="10" width="26.08984375" bestFit="1" customWidth="1"/>
    <col min="11" max="11" width="10" bestFit="1" customWidth="1"/>
    <col min="12" max="12" width="18.54296875" bestFit="1" customWidth="1"/>
    <col min="16" max="16" width="11.81640625" bestFit="1" customWidth="1"/>
  </cols>
  <sheetData>
    <row r="1" spans="2:12" ht="15" thickBot="1" x14ac:dyDescent="0.4"/>
    <row r="2" spans="2:12" x14ac:dyDescent="0.35">
      <c r="B2" s="16" t="s">
        <v>9</v>
      </c>
      <c r="C2" s="58" t="s">
        <v>229</v>
      </c>
    </row>
    <row r="3" spans="2:12" ht="56.5" customHeight="1" x14ac:dyDescent="0.35">
      <c r="B3" s="49" t="s">
        <v>10</v>
      </c>
      <c r="C3" s="59" t="s">
        <v>231</v>
      </c>
    </row>
    <row r="4" spans="2:12" ht="17" customHeight="1" x14ac:dyDescent="0.35">
      <c r="B4" s="63" t="s">
        <v>11</v>
      </c>
      <c r="C4" s="62"/>
    </row>
    <row r="5" spans="2:12" x14ac:dyDescent="0.35">
      <c r="B5" s="17" t="s">
        <v>12</v>
      </c>
      <c r="C5" s="60"/>
    </row>
    <row r="6" spans="2:12" x14ac:dyDescent="0.35">
      <c r="B6" s="17" t="s">
        <v>236</v>
      </c>
      <c r="C6" s="60" t="s">
        <v>364</v>
      </c>
    </row>
    <row r="7" spans="2:12" x14ac:dyDescent="0.35">
      <c r="B7" s="17" t="s">
        <v>237</v>
      </c>
      <c r="C7" s="60" t="s">
        <v>242</v>
      </c>
    </row>
    <row r="8" spans="2:12" x14ac:dyDescent="0.35">
      <c r="B8" s="17" t="s">
        <v>238</v>
      </c>
      <c r="C8" s="60" t="s">
        <v>370</v>
      </c>
    </row>
    <row r="9" spans="2:12" x14ac:dyDescent="0.35">
      <c r="B9" s="17" t="s">
        <v>239</v>
      </c>
      <c r="C9" s="60" t="s">
        <v>243</v>
      </c>
    </row>
    <row r="10" spans="2:12" x14ac:dyDescent="0.35">
      <c r="B10" s="17" t="s">
        <v>240</v>
      </c>
      <c r="C10" s="60" t="s">
        <v>244</v>
      </c>
    </row>
    <row r="11" spans="2:12" ht="15" thickBot="1" x14ac:dyDescent="0.4">
      <c r="B11" s="18" t="s">
        <v>241</v>
      </c>
      <c r="C11" s="61" t="s">
        <v>245</v>
      </c>
    </row>
    <row r="12" spans="2:12" ht="15" thickBot="1" x14ac:dyDescent="0.4">
      <c r="C12" s="23"/>
    </row>
    <row r="13" spans="2:12" ht="15" thickBot="1" x14ac:dyDescent="0.4">
      <c r="C13" s="23"/>
      <c r="E13" s="111" t="s">
        <v>15</v>
      </c>
      <c r="F13" s="112"/>
      <c r="G13" s="113"/>
      <c r="J13" s="111" t="s">
        <v>16</v>
      </c>
      <c r="K13" s="112"/>
      <c r="L13" s="113"/>
    </row>
    <row r="14" spans="2:12" ht="15" thickBot="1" x14ac:dyDescent="0.4">
      <c r="C14" s="23"/>
      <c r="E14" s="14" t="s">
        <v>0</v>
      </c>
      <c r="F14" s="12" t="s">
        <v>1</v>
      </c>
      <c r="G14" s="14" t="s">
        <v>2</v>
      </c>
      <c r="J14" s="14" t="s">
        <v>0</v>
      </c>
      <c r="K14" s="12" t="s">
        <v>1</v>
      </c>
      <c r="L14" s="14" t="s">
        <v>24</v>
      </c>
    </row>
    <row r="15" spans="2:12" x14ac:dyDescent="0.35">
      <c r="C15" s="23"/>
      <c r="E15" s="4" t="s">
        <v>152</v>
      </c>
      <c r="F15" s="8">
        <v>2</v>
      </c>
      <c r="G15" s="4" t="s">
        <v>146</v>
      </c>
      <c r="J15" s="38" t="s">
        <v>233</v>
      </c>
      <c r="K15" s="8">
        <v>20</v>
      </c>
      <c r="L15" s="4" t="s">
        <v>8</v>
      </c>
    </row>
    <row r="16" spans="2:12" x14ac:dyDescent="0.35">
      <c r="C16" s="23"/>
      <c r="E16" s="2" t="s">
        <v>34</v>
      </c>
      <c r="F16" s="9">
        <v>0.88880000000000003</v>
      </c>
      <c r="G16" s="4" t="s">
        <v>21</v>
      </c>
      <c r="J16" s="38" t="s">
        <v>234</v>
      </c>
      <c r="K16" s="9">
        <v>0.5</v>
      </c>
      <c r="L16" s="4" t="s">
        <v>8</v>
      </c>
    </row>
    <row r="17" spans="3:12" x14ac:dyDescent="0.35">
      <c r="C17" s="23"/>
      <c r="E17" s="2" t="s">
        <v>163</v>
      </c>
      <c r="F17" s="9">
        <v>25</v>
      </c>
      <c r="G17" s="4" t="s">
        <v>230</v>
      </c>
      <c r="J17" s="38" t="s">
        <v>235</v>
      </c>
      <c r="K17" s="9">
        <v>0.5</v>
      </c>
      <c r="L17" s="4" t="s">
        <v>8</v>
      </c>
    </row>
    <row r="18" spans="3:12" x14ac:dyDescent="0.35">
      <c r="C18" s="23"/>
      <c r="E18" s="2" t="s">
        <v>54</v>
      </c>
      <c r="F18" s="9">
        <v>40.888800000000003</v>
      </c>
      <c r="G18" s="2" t="s">
        <v>232</v>
      </c>
      <c r="J18" s="38"/>
      <c r="K18" s="9"/>
      <c r="L18" s="4"/>
    </row>
    <row r="19" spans="3:12" x14ac:dyDescent="0.35">
      <c r="C19" s="23"/>
      <c r="E19" s="2" t="s">
        <v>136</v>
      </c>
      <c r="F19" s="9">
        <v>66.666600000000003</v>
      </c>
      <c r="G19" s="2" t="s">
        <v>187</v>
      </c>
      <c r="J19" s="38"/>
      <c r="K19" s="9"/>
      <c r="L19" s="4"/>
    </row>
    <row r="20" spans="3:12" x14ac:dyDescent="0.35">
      <c r="C20" s="23"/>
      <c r="E20" s="2" t="s">
        <v>61</v>
      </c>
      <c r="F20" s="9">
        <v>72.8</v>
      </c>
      <c r="G20" s="2" t="s">
        <v>191</v>
      </c>
      <c r="J20" s="38"/>
      <c r="K20" s="9"/>
      <c r="L20" s="4"/>
    </row>
    <row r="21" spans="3:12" x14ac:dyDescent="0.35">
      <c r="C21" s="23"/>
      <c r="E21" s="2" t="s">
        <v>19</v>
      </c>
      <c r="F21" s="9">
        <v>263.13580000000002</v>
      </c>
      <c r="G21" s="2" t="s">
        <v>22</v>
      </c>
      <c r="J21" s="38"/>
      <c r="K21" s="9"/>
      <c r="L21" s="4"/>
    </row>
    <row r="22" spans="3:12" x14ac:dyDescent="0.35">
      <c r="C22" s="23"/>
      <c r="E22" s="2" t="s">
        <v>49</v>
      </c>
      <c r="F22" s="9">
        <v>303.70370000000003</v>
      </c>
      <c r="G22" s="2" t="s">
        <v>60</v>
      </c>
      <c r="J22" s="11"/>
      <c r="K22" s="9"/>
      <c r="L22" s="4"/>
    </row>
    <row r="23" spans="3:12" x14ac:dyDescent="0.35">
      <c r="C23" s="23"/>
      <c r="E23" s="2"/>
      <c r="F23" s="9"/>
      <c r="G23" s="2"/>
      <c r="J23" s="11"/>
      <c r="K23" s="9"/>
      <c r="L23" s="4"/>
    </row>
    <row r="24" spans="3:12" x14ac:dyDescent="0.35">
      <c r="C24" s="23"/>
      <c r="E24" s="2"/>
      <c r="F24" s="9"/>
      <c r="G24" s="2"/>
      <c r="J24" s="11"/>
      <c r="K24" s="9"/>
      <c r="L24" s="4"/>
    </row>
    <row r="25" spans="3:12" x14ac:dyDescent="0.35">
      <c r="C25" s="23"/>
      <c r="E25" s="2"/>
      <c r="F25" s="9"/>
      <c r="G25" s="2"/>
      <c r="J25" s="11"/>
      <c r="K25" s="9"/>
      <c r="L25" s="4"/>
    </row>
    <row r="26" spans="3:12" x14ac:dyDescent="0.35">
      <c r="C26" s="23"/>
      <c r="E26" s="2"/>
      <c r="F26" s="9"/>
      <c r="G26" s="2"/>
      <c r="J26" s="11"/>
      <c r="K26" s="9"/>
      <c r="L26" s="4"/>
    </row>
    <row r="27" spans="3:12" x14ac:dyDescent="0.35">
      <c r="C27" s="23"/>
      <c r="E27" s="2"/>
      <c r="F27" s="9"/>
      <c r="G27" s="2"/>
      <c r="J27" s="11"/>
      <c r="K27" s="9"/>
      <c r="L27" s="4"/>
    </row>
    <row r="28" spans="3:12" x14ac:dyDescent="0.35">
      <c r="C28" s="23"/>
      <c r="E28" s="2"/>
      <c r="F28" s="9"/>
      <c r="G28" s="2"/>
      <c r="J28" s="11"/>
      <c r="K28" s="9"/>
      <c r="L28" s="4"/>
    </row>
    <row r="29" spans="3:12" x14ac:dyDescent="0.35">
      <c r="C29" s="23"/>
      <c r="E29" s="2"/>
      <c r="F29" s="9"/>
      <c r="G29" s="2"/>
      <c r="J29" s="11"/>
      <c r="K29" s="9"/>
      <c r="L29" s="4"/>
    </row>
    <row r="30" spans="3:12" x14ac:dyDescent="0.35">
      <c r="C30" s="23"/>
      <c r="E30" s="2"/>
      <c r="F30" s="9"/>
      <c r="G30" s="2"/>
      <c r="J30" s="11"/>
      <c r="K30" s="9"/>
      <c r="L30" s="4"/>
    </row>
    <row r="31" spans="3:12" x14ac:dyDescent="0.35">
      <c r="C31" s="23"/>
      <c r="E31" s="2"/>
      <c r="F31" s="9"/>
      <c r="G31" s="2"/>
      <c r="J31" s="11"/>
      <c r="K31" s="9"/>
      <c r="L31" s="4"/>
    </row>
    <row r="32" spans="3:12" x14ac:dyDescent="0.35">
      <c r="C32" s="23"/>
      <c r="E32" s="2"/>
      <c r="F32" s="9"/>
      <c r="G32" s="2"/>
      <c r="J32" s="11"/>
      <c r="K32" s="9"/>
      <c r="L32" s="4"/>
    </row>
    <row r="33" spans="3:12" x14ac:dyDescent="0.35">
      <c r="C33" s="23"/>
      <c r="E33" s="2"/>
      <c r="F33" s="9"/>
      <c r="G33" s="2"/>
      <c r="J33" s="11"/>
      <c r="K33" s="9"/>
      <c r="L33" s="2"/>
    </row>
    <row r="34" spans="3:12" x14ac:dyDescent="0.35">
      <c r="C34" s="23"/>
      <c r="E34" s="2"/>
      <c r="F34" s="9"/>
      <c r="G34" s="2"/>
      <c r="J34" s="11"/>
      <c r="K34" s="9"/>
      <c r="L34" s="2"/>
    </row>
    <row r="35" spans="3:12" x14ac:dyDescent="0.35">
      <c r="C35" s="23"/>
      <c r="E35" s="2"/>
      <c r="F35" s="9"/>
      <c r="G35" s="2"/>
      <c r="J35" s="11"/>
      <c r="K35" s="9"/>
      <c r="L35" s="2"/>
    </row>
    <row r="36" spans="3:12" x14ac:dyDescent="0.35">
      <c r="C36" s="23"/>
      <c r="E36" s="2"/>
      <c r="F36" s="9"/>
      <c r="G36" s="2"/>
      <c r="J36" s="11"/>
      <c r="K36" s="9"/>
      <c r="L36" s="2"/>
    </row>
    <row r="37" spans="3:12" x14ac:dyDescent="0.35">
      <c r="E37" s="2"/>
      <c r="F37" s="9"/>
      <c r="G37" s="2"/>
      <c r="J37" s="11"/>
      <c r="K37" s="9"/>
      <c r="L37" s="2"/>
    </row>
    <row r="38" spans="3:12" x14ac:dyDescent="0.35">
      <c r="E38" s="2"/>
      <c r="F38" s="9"/>
      <c r="G38" s="2"/>
      <c r="J38" s="11"/>
      <c r="K38" s="9"/>
      <c r="L38" s="2"/>
    </row>
    <row r="39" spans="3:12" x14ac:dyDescent="0.35">
      <c r="E39" s="2"/>
      <c r="F39" s="9"/>
      <c r="G39" s="2"/>
      <c r="J39" s="11"/>
      <c r="K39" s="9"/>
      <c r="L39" s="2"/>
    </row>
    <row r="40" spans="3:12" x14ac:dyDescent="0.35">
      <c r="E40" s="2"/>
      <c r="F40" s="9"/>
      <c r="G40" s="2"/>
      <c r="J40" s="11"/>
      <c r="K40" s="9"/>
      <c r="L40" s="2"/>
    </row>
    <row r="41" spans="3:12" x14ac:dyDescent="0.35">
      <c r="E41" s="2"/>
      <c r="F41" s="9"/>
      <c r="G41" s="2"/>
      <c r="J41" s="11"/>
      <c r="K41" s="9"/>
      <c r="L41" s="2"/>
    </row>
    <row r="42" spans="3:12" x14ac:dyDescent="0.35">
      <c r="E42" s="2"/>
      <c r="F42" s="9"/>
      <c r="G42" s="2"/>
      <c r="J42" s="11"/>
      <c r="K42" s="9"/>
      <c r="L42" s="2"/>
    </row>
    <row r="43" spans="3:12" x14ac:dyDescent="0.35">
      <c r="E43" s="2"/>
      <c r="F43" s="9"/>
      <c r="G43" s="2"/>
      <c r="J43" s="11"/>
      <c r="K43" s="9"/>
      <c r="L43" s="2"/>
    </row>
    <row r="44" spans="3:12" x14ac:dyDescent="0.35">
      <c r="E44" s="2"/>
      <c r="F44" s="9"/>
      <c r="G44" s="2"/>
      <c r="J44" s="2"/>
      <c r="K44" s="9"/>
      <c r="L44" s="2"/>
    </row>
    <row r="45" spans="3:12" x14ac:dyDescent="0.35">
      <c r="E45" s="2"/>
      <c r="F45" s="9"/>
      <c r="G45" s="2"/>
      <c r="J45" s="2"/>
      <c r="K45" s="9"/>
      <c r="L45" s="2"/>
    </row>
    <row r="46" spans="3:12" x14ac:dyDescent="0.35">
      <c r="E46" s="2"/>
      <c r="F46" s="9"/>
      <c r="G46" s="2"/>
      <c r="J46" s="2"/>
      <c r="K46" s="9"/>
      <c r="L46" s="2"/>
    </row>
    <row r="47" spans="3:12" ht="15" thickBot="1" x14ac:dyDescent="0.4">
      <c r="E47" s="3"/>
      <c r="F47" s="10"/>
      <c r="G47" s="3"/>
      <c r="J47" s="3"/>
      <c r="K47" s="10"/>
      <c r="L47" s="3"/>
    </row>
  </sheetData>
  <mergeCells count="2">
    <mergeCell ref="E13:G13"/>
    <mergeCell ref="J13:L1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F12F9-7E2B-4B86-8EBD-462FB980EA31}">
  <dimension ref="B1:AF95"/>
  <sheetViews>
    <sheetView zoomScale="85" zoomScaleNormal="85" workbookViewId="0">
      <selection activeCell="E41" sqref="E41:F41"/>
    </sheetView>
  </sheetViews>
  <sheetFormatPr defaultRowHeight="14.5" x14ac:dyDescent="0.35"/>
  <cols>
    <col min="2" max="2" width="26.08984375" bestFit="1" customWidth="1"/>
    <col min="3" max="3" width="24.08984375" bestFit="1" customWidth="1"/>
    <col min="5" max="5" width="18.90625" customWidth="1"/>
    <col min="6" max="6" width="12.1796875" bestFit="1" customWidth="1"/>
    <col min="7" max="7" width="35.08984375" bestFit="1" customWidth="1"/>
    <col min="8" max="8" width="24.1796875" bestFit="1" customWidth="1"/>
    <col min="11" max="11" width="20.08984375" bestFit="1" customWidth="1"/>
    <col min="12" max="12" width="7.36328125" bestFit="1" customWidth="1"/>
    <col min="13" max="13" width="20.1796875" bestFit="1" customWidth="1"/>
    <col min="15" max="15" width="12.1796875" bestFit="1" customWidth="1"/>
    <col min="16" max="16" width="15.453125" bestFit="1" customWidth="1"/>
    <col min="17" max="17" width="12.1796875" bestFit="1" customWidth="1"/>
    <col min="18" max="18" width="15.453125" bestFit="1" customWidth="1"/>
    <col min="19" max="19" width="10.36328125" bestFit="1" customWidth="1"/>
    <col min="20" max="20" width="15.453125" bestFit="1" customWidth="1"/>
    <col min="22" max="22" width="12.1796875" bestFit="1" customWidth="1"/>
    <col min="23" max="23" width="26.90625" bestFit="1" customWidth="1"/>
    <col min="24" max="24" width="12.1796875" bestFit="1" customWidth="1"/>
    <col min="25" max="25" width="43.08984375" bestFit="1" customWidth="1"/>
    <col min="27" max="27" width="14.90625" bestFit="1" customWidth="1"/>
    <col min="28" max="28" width="7.36328125" bestFit="1" customWidth="1"/>
    <col min="29" max="29" width="12.1796875" bestFit="1" customWidth="1"/>
    <col min="30" max="30" width="14.81640625" bestFit="1" customWidth="1"/>
    <col min="31" max="31" width="26.1796875" bestFit="1" customWidth="1"/>
    <col min="32" max="32" width="45" bestFit="1" customWidth="1"/>
  </cols>
  <sheetData>
    <row r="1" spans="2:3" ht="15" thickBot="1" x14ac:dyDescent="0.4"/>
    <row r="2" spans="2:3" x14ac:dyDescent="0.35">
      <c r="B2" s="16" t="s">
        <v>9</v>
      </c>
      <c r="C2" s="58" t="s">
        <v>251</v>
      </c>
    </row>
    <row r="3" spans="2:3" ht="116" x14ac:dyDescent="0.35">
      <c r="B3" s="49" t="s">
        <v>10</v>
      </c>
      <c r="C3" s="59" t="s">
        <v>282</v>
      </c>
    </row>
    <row r="4" spans="2:3" x14ac:dyDescent="0.35">
      <c r="B4" s="63" t="s">
        <v>11</v>
      </c>
      <c r="C4" s="62" t="s">
        <v>514</v>
      </c>
    </row>
    <row r="5" spans="2:3" x14ac:dyDescent="0.35">
      <c r="B5" s="17" t="s">
        <v>355</v>
      </c>
      <c r="C5" s="60" t="s">
        <v>417</v>
      </c>
    </row>
    <row r="6" spans="2:3" x14ac:dyDescent="0.35">
      <c r="B6" s="17" t="s">
        <v>236</v>
      </c>
      <c r="C6" s="60" t="s">
        <v>394</v>
      </c>
    </row>
    <row r="7" spans="2:3" x14ac:dyDescent="0.35">
      <c r="B7" s="17" t="s">
        <v>237</v>
      </c>
      <c r="C7" s="60" t="s">
        <v>372</v>
      </c>
    </row>
    <row r="8" spans="2:3" x14ac:dyDescent="0.35">
      <c r="B8" s="17" t="s">
        <v>238</v>
      </c>
      <c r="C8" s="60" t="s">
        <v>160</v>
      </c>
    </row>
    <row r="9" spans="2:3" x14ac:dyDescent="0.35">
      <c r="B9" s="17" t="s">
        <v>395</v>
      </c>
      <c r="C9" s="60" t="s">
        <v>418</v>
      </c>
    </row>
    <row r="10" spans="2:3" x14ac:dyDescent="0.35">
      <c r="B10" s="17" t="s">
        <v>356</v>
      </c>
      <c r="C10" s="60" t="s">
        <v>419</v>
      </c>
    </row>
    <row r="11" spans="2:3" x14ac:dyDescent="0.35">
      <c r="B11" s="17" t="s">
        <v>239</v>
      </c>
      <c r="C11" s="60" t="s">
        <v>373</v>
      </c>
    </row>
    <row r="12" spans="2:3" x14ac:dyDescent="0.35">
      <c r="B12" s="17" t="s">
        <v>396</v>
      </c>
      <c r="C12" s="60" t="s">
        <v>420</v>
      </c>
    </row>
    <row r="13" spans="2:3" x14ac:dyDescent="0.35">
      <c r="B13" s="17" t="s">
        <v>240</v>
      </c>
      <c r="C13" s="60" t="s">
        <v>374</v>
      </c>
    </row>
    <row r="14" spans="2:3" ht="15" thickBot="1" x14ac:dyDescent="0.4">
      <c r="B14" s="18" t="s">
        <v>241</v>
      </c>
      <c r="C14" s="61" t="s">
        <v>357</v>
      </c>
    </row>
    <row r="15" spans="2:3" x14ac:dyDescent="0.35">
      <c r="B15" s="13"/>
      <c r="C15" s="23"/>
    </row>
    <row r="16" spans="2:3" x14ac:dyDescent="0.35">
      <c r="B16" s="13"/>
      <c r="C16" s="23"/>
    </row>
    <row r="17" spans="3:32" ht="15" thickBot="1" x14ac:dyDescent="0.4">
      <c r="C17" s="23"/>
    </row>
    <row r="18" spans="3:32" ht="15" thickBot="1" x14ac:dyDescent="0.4">
      <c r="C18" s="23"/>
      <c r="E18" s="111" t="s">
        <v>15</v>
      </c>
      <c r="F18" s="112"/>
      <c r="G18" s="112"/>
      <c r="H18" s="113"/>
      <c r="K18" s="111" t="s">
        <v>16</v>
      </c>
      <c r="L18" s="112"/>
      <c r="M18" s="113"/>
      <c r="O18" s="111" t="s">
        <v>262</v>
      </c>
      <c r="P18" s="112"/>
      <c r="Q18" s="112"/>
      <c r="R18" s="112"/>
      <c r="S18" s="112"/>
      <c r="T18" s="113"/>
      <c r="V18" s="111" t="s">
        <v>273</v>
      </c>
      <c r="W18" s="112"/>
      <c r="X18" s="112"/>
      <c r="Y18" s="113"/>
      <c r="AA18" s="71" t="s">
        <v>283</v>
      </c>
      <c r="AB18" s="72" t="s">
        <v>1</v>
      </c>
      <c r="AC18" s="72" t="s">
        <v>284</v>
      </c>
      <c r="AD18" s="72" t="s">
        <v>285</v>
      </c>
      <c r="AE18" s="85" t="s">
        <v>294</v>
      </c>
      <c r="AF18" s="73" t="s">
        <v>286</v>
      </c>
    </row>
    <row r="19" spans="3:32" ht="15" thickBot="1" x14ac:dyDescent="0.4">
      <c r="C19" s="23"/>
      <c r="E19" s="32" t="s">
        <v>0</v>
      </c>
      <c r="F19" s="33" t="s">
        <v>1</v>
      </c>
      <c r="G19" s="32" t="s">
        <v>2</v>
      </c>
      <c r="H19" s="34" t="s">
        <v>253</v>
      </c>
      <c r="K19" s="14" t="s">
        <v>0</v>
      </c>
      <c r="L19" s="12" t="s">
        <v>1</v>
      </c>
      <c r="M19" s="14" t="s">
        <v>24</v>
      </c>
      <c r="O19" s="136" t="s">
        <v>263</v>
      </c>
      <c r="P19" s="137"/>
      <c r="Q19" s="134" t="s">
        <v>264</v>
      </c>
      <c r="R19" s="135"/>
      <c r="S19" s="134" t="s">
        <v>270</v>
      </c>
      <c r="T19" s="135"/>
      <c r="V19" s="136" t="s">
        <v>254</v>
      </c>
      <c r="W19" s="137"/>
      <c r="X19" s="136" t="s">
        <v>272</v>
      </c>
      <c r="Y19" s="138"/>
      <c r="AA19" s="75" t="s">
        <v>302</v>
      </c>
      <c r="AB19" s="83">
        <v>1</v>
      </c>
      <c r="AC19" s="83">
        <v>0.2</v>
      </c>
      <c r="AD19" s="76" t="s">
        <v>301</v>
      </c>
      <c r="AE19" s="76" t="s">
        <v>303</v>
      </c>
      <c r="AF19" s="77" t="s">
        <v>172</v>
      </c>
    </row>
    <row r="20" spans="3:32" ht="15" thickBot="1" x14ac:dyDescent="0.4">
      <c r="C20" s="23"/>
      <c r="E20" s="4" t="s">
        <v>18</v>
      </c>
      <c r="F20" s="8">
        <v>348.18</v>
      </c>
      <c r="G20" s="5" t="s">
        <v>191</v>
      </c>
      <c r="H20" s="19"/>
      <c r="K20" s="38" t="s">
        <v>87</v>
      </c>
      <c r="L20" s="8">
        <f>741-L34</f>
        <v>688.2</v>
      </c>
      <c r="M20" s="4" t="s">
        <v>25</v>
      </c>
      <c r="O20" s="14" t="s">
        <v>1</v>
      </c>
      <c r="P20" s="14" t="s">
        <v>24</v>
      </c>
      <c r="Q20" s="14" t="s">
        <v>1</v>
      </c>
      <c r="R20" s="14" t="s">
        <v>24</v>
      </c>
      <c r="S20" s="14" t="s">
        <v>1</v>
      </c>
      <c r="T20" s="14" t="s">
        <v>24</v>
      </c>
      <c r="V20" s="14" t="s">
        <v>1</v>
      </c>
      <c r="W20" s="14" t="s">
        <v>24</v>
      </c>
      <c r="X20" s="14" t="s">
        <v>1</v>
      </c>
      <c r="Y20" s="14" t="s">
        <v>24</v>
      </c>
      <c r="AA20" s="78" t="s">
        <v>302</v>
      </c>
      <c r="AB20" s="84">
        <v>1</v>
      </c>
      <c r="AC20" s="84">
        <v>0.2</v>
      </c>
      <c r="AD20" s="74" t="s">
        <v>290</v>
      </c>
      <c r="AE20" s="74" t="s">
        <v>104</v>
      </c>
      <c r="AF20" s="79" t="s">
        <v>310</v>
      </c>
    </row>
    <row r="21" spans="3:32" x14ac:dyDescent="0.35">
      <c r="C21" s="23"/>
      <c r="E21" s="2" t="s">
        <v>5</v>
      </c>
      <c r="F21" s="9">
        <f>186.2622+5.25</f>
        <v>191.51220000000001</v>
      </c>
      <c r="G21" s="5" t="s">
        <v>169</v>
      </c>
      <c r="H21" s="2"/>
      <c r="K21" s="38" t="s">
        <v>103</v>
      </c>
      <c r="L21" s="9">
        <f>101+1/15</f>
        <v>101.06666666666666</v>
      </c>
      <c r="M21" s="4" t="s">
        <v>514</v>
      </c>
      <c r="O21" s="38">
        <f>127+23/40</f>
        <v>127.575</v>
      </c>
      <c r="P21" s="4" t="s">
        <v>73</v>
      </c>
      <c r="Q21" s="4">
        <f>151+157/225</f>
        <v>151.69777777777779</v>
      </c>
      <c r="R21" s="4" t="s">
        <v>73</v>
      </c>
      <c r="S21" s="4">
        <v>240</v>
      </c>
      <c r="T21" s="4" t="s">
        <v>53</v>
      </c>
      <c r="V21" s="43">
        <v>170.1</v>
      </c>
      <c r="W21" s="19" t="s">
        <v>274</v>
      </c>
      <c r="X21" s="43">
        <f>158+22/75</f>
        <v>158.29333333333332</v>
      </c>
      <c r="Y21" s="19" t="s">
        <v>275</v>
      </c>
      <c r="AA21" s="78" t="s">
        <v>311</v>
      </c>
      <c r="AB21" s="84">
        <v>1</v>
      </c>
      <c r="AC21" s="84">
        <v>0.2</v>
      </c>
      <c r="AD21" s="74" t="s">
        <v>290</v>
      </c>
      <c r="AE21" s="74" t="s">
        <v>314</v>
      </c>
      <c r="AF21" s="79" t="s">
        <v>313</v>
      </c>
    </row>
    <row r="22" spans="3:32" x14ac:dyDescent="0.35">
      <c r="C22" s="23"/>
      <c r="E22" s="2" t="s">
        <v>103</v>
      </c>
      <c r="F22" s="9">
        <f>79+19/50+23+19/255</f>
        <v>102.45450980392157</v>
      </c>
      <c r="G22" s="5" t="s">
        <v>106</v>
      </c>
      <c r="H22" s="2"/>
      <c r="K22" s="38" t="s">
        <v>358</v>
      </c>
      <c r="L22" s="9">
        <v>11.52</v>
      </c>
      <c r="M22" s="4" t="s">
        <v>8</v>
      </c>
      <c r="O22" s="11">
        <f>125+29/50</f>
        <v>125.58</v>
      </c>
      <c r="P22" s="2" t="s">
        <v>265</v>
      </c>
      <c r="Q22" s="2">
        <f>148+2/5</f>
        <v>148.4</v>
      </c>
      <c r="R22" s="2" t="s">
        <v>73</v>
      </c>
      <c r="S22" s="2">
        <v>160</v>
      </c>
      <c r="T22" s="2" t="s">
        <v>43</v>
      </c>
      <c r="V22" s="11">
        <f>43+131/135</f>
        <v>43.970370370370368</v>
      </c>
      <c r="W22" s="2" t="s">
        <v>276</v>
      </c>
      <c r="X22" s="11"/>
      <c r="Y22" s="2"/>
      <c r="AA22" s="78" t="s">
        <v>311</v>
      </c>
      <c r="AB22" s="84">
        <v>1</v>
      </c>
      <c r="AC22" s="84">
        <v>0.3</v>
      </c>
      <c r="AD22" s="74" t="s">
        <v>290</v>
      </c>
      <c r="AE22" s="74" t="s">
        <v>312</v>
      </c>
      <c r="AF22" s="79" t="s">
        <v>313</v>
      </c>
    </row>
    <row r="23" spans="3:32" x14ac:dyDescent="0.35">
      <c r="C23" s="23"/>
      <c r="E23" s="2" t="s">
        <v>86</v>
      </c>
      <c r="F23" s="9">
        <v>146.3777</v>
      </c>
      <c r="G23" s="6" t="s">
        <v>85</v>
      </c>
      <c r="H23" s="2"/>
      <c r="K23" s="38" t="s">
        <v>318</v>
      </c>
      <c r="L23" s="9">
        <v>10</v>
      </c>
      <c r="M23" s="4" t="s">
        <v>8</v>
      </c>
      <c r="O23" s="11">
        <v>2.73</v>
      </c>
      <c r="P23" s="2" t="s">
        <v>266</v>
      </c>
      <c r="Q23" s="2">
        <v>226.8</v>
      </c>
      <c r="R23" s="2" t="s">
        <v>271</v>
      </c>
      <c r="S23" s="2"/>
      <c r="T23" s="2"/>
      <c r="V23" s="11"/>
      <c r="W23" s="2"/>
      <c r="X23" s="11"/>
      <c r="Y23" s="2"/>
      <c r="AA23" s="78" t="s">
        <v>302</v>
      </c>
      <c r="AB23" s="84">
        <v>1</v>
      </c>
      <c r="AC23" s="84">
        <v>0.3</v>
      </c>
      <c r="AD23" s="74" t="s">
        <v>336</v>
      </c>
      <c r="AE23" s="74" t="s">
        <v>341</v>
      </c>
      <c r="AF23" s="79" t="s">
        <v>310</v>
      </c>
    </row>
    <row r="24" spans="3:32" x14ac:dyDescent="0.35">
      <c r="C24" s="23"/>
      <c r="E24" s="2" t="s">
        <v>61</v>
      </c>
      <c r="F24" s="9">
        <v>153.09</v>
      </c>
      <c r="G24" s="6" t="s">
        <v>191</v>
      </c>
      <c r="H24" s="2"/>
      <c r="K24" s="38" t="s">
        <v>339</v>
      </c>
      <c r="L24" s="9">
        <v>5</v>
      </c>
      <c r="M24" s="4" t="s">
        <v>8</v>
      </c>
      <c r="O24" s="11">
        <f>116+92/1125</f>
        <v>116.08177777777777</v>
      </c>
      <c r="P24" s="2" t="s">
        <v>43</v>
      </c>
      <c r="Q24" s="2"/>
      <c r="R24" s="2"/>
      <c r="S24" s="2"/>
      <c r="T24" s="2"/>
      <c r="V24" s="11"/>
      <c r="W24" s="2"/>
      <c r="X24" s="11"/>
      <c r="Y24" s="2"/>
      <c r="AA24" s="78" t="s">
        <v>311</v>
      </c>
      <c r="AB24" s="84">
        <v>1</v>
      </c>
      <c r="AC24" s="84">
        <v>0.4</v>
      </c>
      <c r="AD24" s="74" t="s">
        <v>336</v>
      </c>
      <c r="AE24" s="74" t="s">
        <v>339</v>
      </c>
      <c r="AF24" s="79" t="s">
        <v>313</v>
      </c>
    </row>
    <row r="25" spans="3:32" x14ac:dyDescent="0.35">
      <c r="C25" s="23"/>
      <c r="E25" s="2" t="s">
        <v>54</v>
      </c>
      <c r="F25" s="9">
        <f>V21+V22</f>
        <v>214.07037037037037</v>
      </c>
      <c r="G25" s="6" t="s">
        <v>55</v>
      </c>
      <c r="H25" s="2" t="s">
        <v>255</v>
      </c>
      <c r="K25" s="38" t="s">
        <v>359</v>
      </c>
      <c r="L25" s="9">
        <f>4+64/75</f>
        <v>4.8533333333333335</v>
      </c>
      <c r="M25" s="4" t="s">
        <v>442</v>
      </c>
      <c r="O25" s="11">
        <f>72+124/225</f>
        <v>72.551111111111112</v>
      </c>
      <c r="P25" s="2" t="s">
        <v>267</v>
      </c>
      <c r="Q25" s="2"/>
      <c r="R25" s="2"/>
      <c r="S25" s="2"/>
      <c r="T25" s="2"/>
      <c r="V25" s="11"/>
      <c r="W25" s="2"/>
      <c r="X25" s="11"/>
      <c r="Y25" s="2"/>
      <c r="AA25" s="78" t="s">
        <v>308</v>
      </c>
      <c r="AB25" s="84">
        <v>1</v>
      </c>
      <c r="AC25" s="84">
        <v>0.6</v>
      </c>
      <c r="AD25" s="74" t="s">
        <v>290</v>
      </c>
      <c r="AE25" s="74" t="s">
        <v>265</v>
      </c>
      <c r="AF25" s="79" t="s">
        <v>309</v>
      </c>
    </row>
    <row r="26" spans="3:32" x14ac:dyDescent="0.35">
      <c r="C26" s="23"/>
      <c r="E26" s="2" t="s">
        <v>43</v>
      </c>
      <c r="F26" s="9">
        <f>226.8+29+71/72</f>
        <v>256.7861111111111</v>
      </c>
      <c r="G26" s="6" t="s">
        <v>44</v>
      </c>
      <c r="H26" s="2"/>
      <c r="K26" s="38" t="s">
        <v>340</v>
      </c>
      <c r="L26" s="9">
        <v>4.2</v>
      </c>
      <c r="M26" s="4" t="s">
        <v>8</v>
      </c>
      <c r="O26" s="2"/>
      <c r="P26" s="2"/>
      <c r="Q26" s="2"/>
      <c r="R26" s="2"/>
      <c r="S26" s="2"/>
      <c r="T26" s="2"/>
      <c r="V26" s="2"/>
      <c r="W26" s="2"/>
      <c r="X26" s="11"/>
      <c r="Y26" s="2"/>
      <c r="AA26" s="78" t="s">
        <v>311</v>
      </c>
      <c r="AB26" s="84">
        <v>1</v>
      </c>
      <c r="AC26" s="84">
        <v>0.7</v>
      </c>
      <c r="AD26" s="74" t="s">
        <v>336</v>
      </c>
      <c r="AE26" s="74" t="s">
        <v>340</v>
      </c>
      <c r="AF26" s="79" t="s">
        <v>313</v>
      </c>
    </row>
    <row r="27" spans="3:32" ht="15" thickBot="1" x14ac:dyDescent="0.4">
      <c r="C27" s="23"/>
      <c r="E27" s="2" t="s">
        <v>41</v>
      </c>
      <c r="F27" s="9">
        <f>628+1243/3645</f>
        <v>628.34101508916319</v>
      </c>
      <c r="G27" s="6" t="s">
        <v>42</v>
      </c>
      <c r="H27" s="2"/>
      <c r="K27" s="11" t="s">
        <v>314</v>
      </c>
      <c r="L27" s="9">
        <v>2.73</v>
      </c>
      <c r="M27" s="4" t="s">
        <v>8</v>
      </c>
      <c r="O27" s="2"/>
      <c r="P27" s="2"/>
      <c r="Q27" s="2"/>
      <c r="R27" s="2"/>
      <c r="S27" s="2"/>
      <c r="T27" s="2"/>
      <c r="V27" s="66"/>
      <c r="W27" s="66"/>
      <c r="X27" s="68"/>
      <c r="Y27" s="66"/>
      <c r="AA27" s="78" t="s">
        <v>289</v>
      </c>
      <c r="AB27" s="84">
        <v>1</v>
      </c>
      <c r="AC27" s="84">
        <v>1</v>
      </c>
      <c r="AD27" s="74" t="s">
        <v>301</v>
      </c>
      <c r="AE27" s="74" t="s">
        <v>172</v>
      </c>
      <c r="AF27" s="79" t="s">
        <v>299</v>
      </c>
    </row>
    <row r="28" spans="3:32" ht="15" thickBot="1" x14ac:dyDescent="0.4">
      <c r="C28" s="23"/>
      <c r="E28" s="2" t="s">
        <v>257</v>
      </c>
      <c r="F28" s="9">
        <f>174+46/375</f>
        <v>174.12266666666667</v>
      </c>
      <c r="G28" s="6" t="s">
        <v>258</v>
      </c>
      <c r="H28" s="2"/>
      <c r="K28" s="11" t="s">
        <v>312</v>
      </c>
      <c r="L28" s="9">
        <v>2.73</v>
      </c>
      <c r="M28" s="4" t="s">
        <v>8</v>
      </c>
      <c r="O28" s="66"/>
      <c r="P28" s="66"/>
      <c r="Q28" s="66"/>
      <c r="R28" s="66"/>
      <c r="S28" s="66"/>
      <c r="T28" s="66"/>
      <c r="V28" s="34" t="s">
        <v>268</v>
      </c>
      <c r="W28" s="70">
        <f>SUM(V21:V22)</f>
        <v>214.07037037037037</v>
      </c>
      <c r="X28" s="69" t="s">
        <v>268</v>
      </c>
      <c r="Y28" s="70">
        <f>SUM(X21:X27)</f>
        <v>158.29333333333332</v>
      </c>
      <c r="AA28" s="78" t="s">
        <v>293</v>
      </c>
      <c r="AB28" s="84">
        <v>1</v>
      </c>
      <c r="AC28" s="84">
        <v>1.2</v>
      </c>
      <c r="AD28" s="74" t="s">
        <v>290</v>
      </c>
      <c r="AE28" s="74" t="s">
        <v>53</v>
      </c>
      <c r="AF28" s="79" t="s">
        <v>70</v>
      </c>
    </row>
    <row r="29" spans="3:32" ht="15" thickBot="1" x14ac:dyDescent="0.4">
      <c r="C29" s="23"/>
      <c r="E29" s="2" t="s">
        <v>87</v>
      </c>
      <c r="F29" s="9">
        <f>72+124/225</f>
        <v>72.551111111111112</v>
      </c>
      <c r="G29" s="6" t="s">
        <v>130</v>
      </c>
      <c r="H29" s="2"/>
      <c r="K29" s="11" t="s">
        <v>319</v>
      </c>
      <c r="L29" s="9">
        <v>1.54</v>
      </c>
      <c r="M29" s="4" t="s">
        <v>8</v>
      </c>
      <c r="O29" s="16" t="s">
        <v>268</v>
      </c>
      <c r="P29" s="67">
        <f>SUM(O21:O28)</f>
        <v>444.51788888888893</v>
      </c>
      <c r="Q29" s="16" t="s">
        <v>268</v>
      </c>
      <c r="R29" s="67">
        <f>SUM(Q21:Q28)</f>
        <v>526.89777777777772</v>
      </c>
      <c r="S29" s="16" t="s">
        <v>268</v>
      </c>
      <c r="T29" s="67">
        <f>SUM(S21:S28)</f>
        <v>400</v>
      </c>
      <c r="V29" s="47" t="s">
        <v>277</v>
      </c>
      <c r="W29" s="131">
        <f>W28+Y28</f>
        <v>372.36370370370366</v>
      </c>
      <c r="X29" s="132"/>
      <c r="Y29" s="133"/>
      <c r="AA29" s="78" t="s">
        <v>289</v>
      </c>
      <c r="AB29" s="84">
        <v>1</v>
      </c>
      <c r="AC29" s="84">
        <v>1.6</v>
      </c>
      <c r="AD29" s="74" t="s">
        <v>290</v>
      </c>
      <c r="AE29" s="74" t="s">
        <v>297</v>
      </c>
      <c r="AF29" s="79" t="s">
        <v>299</v>
      </c>
    </row>
    <row r="30" spans="3:32" ht="15" thickBot="1" x14ac:dyDescent="0.4">
      <c r="C30" s="23"/>
      <c r="E30" s="64" t="s">
        <v>136</v>
      </c>
      <c r="F30" s="38">
        <f>734+32/45</f>
        <v>734.71111111111111</v>
      </c>
      <c r="G30" s="4" t="s">
        <v>187</v>
      </c>
      <c r="H30" s="2"/>
      <c r="K30" s="11" t="s">
        <v>342</v>
      </c>
      <c r="L30" s="9">
        <v>1</v>
      </c>
      <c r="M30" s="4" t="s">
        <v>8</v>
      </c>
      <c r="O30" s="18" t="s">
        <v>269</v>
      </c>
      <c r="P30" s="65">
        <f>P29/600</f>
        <v>0.74086314814814824</v>
      </c>
      <c r="Q30" s="18" t="s">
        <v>269</v>
      </c>
      <c r="R30" s="65">
        <f>R29/600</f>
        <v>0.87816296296296281</v>
      </c>
      <c r="S30" s="18" t="s">
        <v>269</v>
      </c>
      <c r="T30" s="65">
        <f>T29/600</f>
        <v>0.66666666666666663</v>
      </c>
      <c r="AA30" s="78" t="s">
        <v>307</v>
      </c>
      <c r="AB30" s="84">
        <v>2</v>
      </c>
      <c r="AC30" s="84">
        <v>2.7</v>
      </c>
      <c r="AD30" s="74" t="s">
        <v>326</v>
      </c>
      <c r="AE30" s="74" t="s">
        <v>328</v>
      </c>
      <c r="AF30" s="79" t="s">
        <v>327</v>
      </c>
    </row>
    <row r="31" spans="3:32" x14ac:dyDescent="0.35">
      <c r="C31" s="23"/>
      <c r="E31" s="2" t="s">
        <v>52</v>
      </c>
      <c r="F31" s="9">
        <f>479+73/600</f>
        <v>479.12166666666667</v>
      </c>
      <c r="G31" s="6" t="s">
        <v>21</v>
      </c>
      <c r="H31" s="2"/>
      <c r="K31" s="11" t="s">
        <v>299</v>
      </c>
      <c r="L31" s="9">
        <v>0.25</v>
      </c>
      <c r="M31" s="4" t="s">
        <v>8</v>
      </c>
      <c r="AA31" s="78" t="s">
        <v>307</v>
      </c>
      <c r="AB31" s="84">
        <v>4</v>
      </c>
      <c r="AC31" s="84">
        <v>2.8</v>
      </c>
      <c r="AD31" s="74" t="s">
        <v>290</v>
      </c>
      <c r="AE31" s="74" t="s">
        <v>72</v>
      </c>
      <c r="AF31" s="79" t="s">
        <v>67</v>
      </c>
    </row>
    <row r="32" spans="3:32" x14ac:dyDescent="0.35">
      <c r="C32" s="23"/>
      <c r="E32" s="2" t="s">
        <v>175</v>
      </c>
      <c r="F32" s="9">
        <v>2.5</v>
      </c>
      <c r="G32" s="6" t="s">
        <v>169</v>
      </c>
      <c r="H32" s="2"/>
      <c r="K32" s="11" t="s">
        <v>349</v>
      </c>
      <c r="L32" s="9">
        <v>0.21</v>
      </c>
      <c r="M32" s="4" t="s">
        <v>8</v>
      </c>
      <c r="AA32" s="78" t="s">
        <v>307</v>
      </c>
      <c r="AB32" s="84">
        <v>12</v>
      </c>
      <c r="AC32" s="84">
        <v>3.2</v>
      </c>
      <c r="AD32" s="74" t="s">
        <v>290</v>
      </c>
      <c r="AE32" s="74" t="s">
        <v>76</v>
      </c>
      <c r="AF32" s="79" t="s">
        <v>67</v>
      </c>
    </row>
    <row r="33" spans="3:32" x14ac:dyDescent="0.35">
      <c r="C33" s="23"/>
      <c r="E33" s="2" t="s">
        <v>176</v>
      </c>
      <c r="F33" s="9">
        <v>2.5</v>
      </c>
      <c r="G33" s="6" t="s">
        <v>169</v>
      </c>
      <c r="H33" s="2"/>
      <c r="K33" s="11" t="s">
        <v>359</v>
      </c>
      <c r="L33" s="9">
        <f>7/75</f>
        <v>9.3333333333333338E-2</v>
      </c>
      <c r="M33" s="4" t="s">
        <v>8</v>
      </c>
      <c r="AA33" s="78" t="s">
        <v>307</v>
      </c>
      <c r="AB33" s="84">
        <v>3</v>
      </c>
      <c r="AC33" s="84">
        <v>3.3</v>
      </c>
      <c r="AD33" s="74" t="s">
        <v>326</v>
      </c>
      <c r="AE33" s="74" t="s">
        <v>76</v>
      </c>
      <c r="AF33" s="79" t="s">
        <v>327</v>
      </c>
    </row>
    <row r="34" spans="3:32" x14ac:dyDescent="0.35">
      <c r="C34" s="23"/>
      <c r="E34" s="2" t="s">
        <v>61</v>
      </c>
      <c r="F34" s="9">
        <v>1360.11733</v>
      </c>
      <c r="G34" s="6" t="s">
        <v>60</v>
      </c>
      <c r="H34" s="2"/>
      <c r="K34" s="11" t="s">
        <v>87</v>
      </c>
      <c r="L34" s="9">
        <f>52+4/5</f>
        <v>52.8</v>
      </c>
      <c r="M34" s="4" t="s">
        <v>514</v>
      </c>
      <c r="AA34" s="78" t="s">
        <v>302</v>
      </c>
      <c r="AB34" s="84">
        <v>14</v>
      </c>
      <c r="AC34" s="84">
        <v>3.4</v>
      </c>
      <c r="AD34" s="74" t="s">
        <v>290</v>
      </c>
      <c r="AE34" s="74" t="s">
        <v>70</v>
      </c>
      <c r="AF34" s="79" t="s">
        <v>297</v>
      </c>
    </row>
    <row r="35" spans="3:32" x14ac:dyDescent="0.35">
      <c r="C35" s="23"/>
      <c r="E35" s="2" t="s">
        <v>54</v>
      </c>
      <c r="F35" s="9">
        <f>X21</f>
        <v>158.29333333333332</v>
      </c>
      <c r="G35" s="6" t="s">
        <v>55</v>
      </c>
      <c r="H35" s="2" t="s">
        <v>278</v>
      </c>
      <c r="K35" s="11"/>
      <c r="L35" s="9"/>
      <c r="M35" s="4"/>
      <c r="AA35" s="78" t="s">
        <v>307</v>
      </c>
      <c r="AB35" s="84">
        <v>16</v>
      </c>
      <c r="AC35" s="84">
        <v>3.7</v>
      </c>
      <c r="AD35" s="74" t="s">
        <v>301</v>
      </c>
      <c r="AE35" s="74" t="s">
        <v>76</v>
      </c>
      <c r="AF35" s="79" t="s">
        <v>69</v>
      </c>
    </row>
    <row r="36" spans="3:32" x14ac:dyDescent="0.35">
      <c r="C36" s="23"/>
      <c r="E36" s="2" t="s">
        <v>280</v>
      </c>
      <c r="F36" s="9">
        <v>480</v>
      </c>
      <c r="G36" s="6" t="s">
        <v>281</v>
      </c>
      <c r="H36" s="2"/>
      <c r="K36" s="11"/>
      <c r="L36" s="9"/>
      <c r="M36" s="4"/>
      <c r="AA36" s="78" t="s">
        <v>307</v>
      </c>
      <c r="AB36" s="84">
        <v>4</v>
      </c>
      <c r="AC36" s="84">
        <v>3.7</v>
      </c>
      <c r="AD36" s="74" t="s">
        <v>336</v>
      </c>
      <c r="AE36" s="74" t="s">
        <v>328</v>
      </c>
      <c r="AF36" s="79" t="s">
        <v>271</v>
      </c>
    </row>
    <row r="37" spans="3:32" x14ac:dyDescent="0.35">
      <c r="C37" s="23"/>
      <c r="E37" s="2" t="s">
        <v>257</v>
      </c>
      <c r="F37" s="9">
        <v>240</v>
      </c>
      <c r="G37" s="6" t="s">
        <v>21</v>
      </c>
      <c r="H37" s="2"/>
      <c r="K37" s="11"/>
      <c r="L37" s="9"/>
      <c r="M37" s="4"/>
      <c r="AA37" s="78" t="s">
        <v>289</v>
      </c>
      <c r="AB37" s="84">
        <v>1</v>
      </c>
      <c r="AC37" s="84">
        <v>4.5999999999999996</v>
      </c>
      <c r="AD37" s="74" t="s">
        <v>290</v>
      </c>
      <c r="AE37" s="74" t="s">
        <v>297</v>
      </c>
      <c r="AF37" s="79" t="s">
        <v>298</v>
      </c>
    </row>
    <row r="38" spans="3:32" x14ac:dyDescent="0.35">
      <c r="C38" s="23"/>
      <c r="E38" s="2" t="s">
        <v>19</v>
      </c>
      <c r="F38" s="9">
        <f>14727+1247/3000</f>
        <v>14727.415666666666</v>
      </c>
      <c r="G38" s="6" t="s">
        <v>62</v>
      </c>
      <c r="H38" s="2"/>
      <c r="K38" s="11"/>
      <c r="L38" s="9"/>
      <c r="M38" s="2"/>
      <c r="AA38" s="78" t="s">
        <v>289</v>
      </c>
      <c r="AB38" s="84">
        <v>8</v>
      </c>
      <c r="AC38" s="84">
        <v>10.6</v>
      </c>
      <c r="AD38" s="74" t="s">
        <v>290</v>
      </c>
      <c r="AE38" s="74" t="s">
        <v>297</v>
      </c>
      <c r="AF38" s="79" t="s">
        <v>316</v>
      </c>
    </row>
    <row r="39" spans="3:32" x14ac:dyDescent="0.35">
      <c r="C39" s="23"/>
      <c r="E39" s="2" t="s">
        <v>354</v>
      </c>
      <c r="F39" s="9">
        <f>1050+13/15</f>
        <v>1050.8666666666666</v>
      </c>
      <c r="G39" s="6" t="s">
        <v>360</v>
      </c>
      <c r="H39" s="2"/>
      <c r="K39" s="11"/>
      <c r="L39" s="9"/>
      <c r="M39" s="2"/>
      <c r="AA39" s="78" t="s">
        <v>289</v>
      </c>
      <c r="AB39" s="84">
        <v>1</v>
      </c>
      <c r="AC39" s="84">
        <v>11.2</v>
      </c>
      <c r="AD39" s="74" t="s">
        <v>290</v>
      </c>
      <c r="AE39" s="74" t="s">
        <v>70</v>
      </c>
      <c r="AF39" s="79" t="s">
        <v>296</v>
      </c>
    </row>
    <row r="40" spans="3:32" x14ac:dyDescent="0.35">
      <c r="C40" s="23"/>
      <c r="E40" s="2" t="s">
        <v>20</v>
      </c>
      <c r="F40" s="9">
        <v>300</v>
      </c>
      <c r="G40" s="6" t="s">
        <v>362</v>
      </c>
      <c r="H40" s="2"/>
      <c r="K40" s="11"/>
      <c r="L40" s="9"/>
      <c r="M40" s="2"/>
      <c r="AA40" s="78" t="s">
        <v>289</v>
      </c>
      <c r="AB40" s="84">
        <v>6</v>
      </c>
      <c r="AC40" s="84">
        <v>11.3</v>
      </c>
      <c r="AD40" s="74" t="s">
        <v>290</v>
      </c>
      <c r="AE40" s="74" t="s">
        <v>295</v>
      </c>
      <c r="AF40" s="79" t="s">
        <v>291</v>
      </c>
    </row>
    <row r="41" spans="3:32" x14ac:dyDescent="0.35">
      <c r="C41" s="23"/>
      <c r="E41" s="2" t="s">
        <v>363</v>
      </c>
      <c r="F41" s="9">
        <v>8.73</v>
      </c>
      <c r="G41" s="6" t="s">
        <v>158</v>
      </c>
      <c r="H41" s="2"/>
      <c r="K41" s="11"/>
      <c r="L41" s="9"/>
      <c r="M41" s="2"/>
      <c r="AA41" s="78" t="s">
        <v>289</v>
      </c>
      <c r="AB41" s="84">
        <v>5</v>
      </c>
      <c r="AC41" s="84">
        <v>11.6</v>
      </c>
      <c r="AD41" s="74" t="s">
        <v>326</v>
      </c>
      <c r="AE41" s="74" t="s">
        <v>333</v>
      </c>
      <c r="AF41" s="79" t="s">
        <v>331</v>
      </c>
    </row>
    <row r="42" spans="3:32" x14ac:dyDescent="0.35">
      <c r="E42" s="2" t="s">
        <v>88</v>
      </c>
      <c r="F42" s="9">
        <v>600</v>
      </c>
      <c r="G42" s="6" t="s">
        <v>21</v>
      </c>
      <c r="H42" s="2"/>
      <c r="K42" s="11"/>
      <c r="L42" s="9"/>
      <c r="M42" s="2"/>
      <c r="AA42" s="78" t="s">
        <v>289</v>
      </c>
      <c r="AB42" s="84">
        <v>12</v>
      </c>
      <c r="AC42" s="84">
        <v>11.6</v>
      </c>
      <c r="AD42" s="74" t="s">
        <v>346</v>
      </c>
      <c r="AE42" s="74" t="s">
        <v>337</v>
      </c>
      <c r="AF42" s="79" t="s">
        <v>313</v>
      </c>
    </row>
    <row r="43" spans="3:32" x14ac:dyDescent="0.35">
      <c r="E43" s="2"/>
      <c r="F43" s="9"/>
      <c r="G43" s="6"/>
      <c r="H43" s="2"/>
      <c r="K43" s="11"/>
      <c r="L43" s="9"/>
      <c r="M43" s="2"/>
      <c r="AA43" s="78" t="s">
        <v>306</v>
      </c>
      <c r="AB43" s="84">
        <v>4</v>
      </c>
      <c r="AC43" s="84">
        <v>11.7</v>
      </c>
      <c r="AD43" s="74" t="s">
        <v>326</v>
      </c>
      <c r="AE43" s="74" t="s">
        <v>72</v>
      </c>
      <c r="AF43" s="79" t="s">
        <v>330</v>
      </c>
    </row>
    <row r="44" spans="3:32" x14ac:dyDescent="0.35">
      <c r="E44" s="2"/>
      <c r="F44" s="9"/>
      <c r="G44" s="6"/>
      <c r="H44" s="2"/>
      <c r="K44" s="11"/>
      <c r="L44" s="9"/>
      <c r="M44" s="2"/>
      <c r="AA44" s="78" t="s">
        <v>289</v>
      </c>
      <c r="AB44" s="84">
        <v>4</v>
      </c>
      <c r="AC44" s="84">
        <v>12.7</v>
      </c>
      <c r="AD44" s="74" t="s">
        <v>290</v>
      </c>
      <c r="AE44" s="74" t="s">
        <v>102</v>
      </c>
      <c r="AF44" s="79" t="s">
        <v>152</v>
      </c>
    </row>
    <row r="45" spans="3:32" x14ac:dyDescent="0.35">
      <c r="E45" s="2"/>
      <c r="F45" s="9"/>
      <c r="G45" s="6"/>
      <c r="H45" s="2"/>
      <c r="K45" s="11"/>
      <c r="L45" s="9"/>
      <c r="M45" s="2"/>
      <c r="AA45" s="78" t="s">
        <v>289</v>
      </c>
      <c r="AB45" s="84">
        <v>12</v>
      </c>
      <c r="AC45" s="84">
        <v>12.7</v>
      </c>
      <c r="AD45" s="74" t="s">
        <v>301</v>
      </c>
      <c r="AE45" s="74" t="s">
        <v>69</v>
      </c>
      <c r="AF45" s="79" t="s">
        <v>227</v>
      </c>
    </row>
    <row r="46" spans="3:32" x14ac:dyDescent="0.35">
      <c r="E46" s="2"/>
      <c r="F46" s="9"/>
      <c r="G46" s="6"/>
      <c r="H46" s="2"/>
      <c r="K46" s="11"/>
      <c r="L46" s="9"/>
      <c r="M46" s="2"/>
      <c r="AA46" s="78" t="s">
        <v>289</v>
      </c>
      <c r="AB46" s="84">
        <v>5</v>
      </c>
      <c r="AC46" s="84">
        <v>12.7</v>
      </c>
      <c r="AD46" s="74" t="s">
        <v>326</v>
      </c>
      <c r="AE46" s="74" t="s">
        <v>64</v>
      </c>
      <c r="AF46" s="79" t="s">
        <v>331</v>
      </c>
    </row>
    <row r="47" spans="3:32" x14ac:dyDescent="0.35">
      <c r="E47" s="2"/>
      <c r="F47" s="9"/>
      <c r="G47" s="6"/>
      <c r="H47" s="2"/>
      <c r="K47" s="11"/>
      <c r="L47" s="9"/>
      <c r="M47" s="2"/>
      <c r="AA47" s="78" t="s">
        <v>306</v>
      </c>
      <c r="AB47" s="84">
        <v>4</v>
      </c>
      <c r="AC47" s="84">
        <v>12.9</v>
      </c>
      <c r="AD47" s="74" t="s">
        <v>301</v>
      </c>
      <c r="AE47" s="74" t="s">
        <v>72</v>
      </c>
      <c r="AF47" s="79" t="s">
        <v>69</v>
      </c>
    </row>
    <row r="48" spans="3:32" x14ac:dyDescent="0.35">
      <c r="E48" s="2"/>
      <c r="F48" s="9"/>
      <c r="G48" s="6"/>
      <c r="H48" s="2"/>
      <c r="K48" s="11"/>
      <c r="L48" s="9"/>
      <c r="M48" s="2"/>
      <c r="AA48" s="78" t="s">
        <v>329</v>
      </c>
      <c r="AB48" s="84">
        <v>1</v>
      </c>
      <c r="AC48" s="84">
        <v>13.5</v>
      </c>
      <c r="AD48" s="74" t="s">
        <v>326</v>
      </c>
      <c r="AE48" s="74" t="s">
        <v>72</v>
      </c>
      <c r="AF48" s="79" t="s">
        <v>64</v>
      </c>
    </row>
    <row r="49" spans="5:32" x14ac:dyDescent="0.35">
      <c r="E49" s="2"/>
      <c r="F49" s="9"/>
      <c r="G49" s="6"/>
      <c r="H49" s="2"/>
      <c r="K49" s="2"/>
      <c r="L49" s="9"/>
      <c r="M49" s="2"/>
      <c r="AA49" s="78" t="s">
        <v>289</v>
      </c>
      <c r="AB49" s="84">
        <v>10</v>
      </c>
      <c r="AC49" s="84">
        <v>13.9</v>
      </c>
      <c r="AD49" s="74" t="s">
        <v>301</v>
      </c>
      <c r="AE49" s="74" t="s">
        <v>227</v>
      </c>
      <c r="AF49" s="79" t="s">
        <v>305</v>
      </c>
    </row>
    <row r="50" spans="5:32" x14ac:dyDescent="0.35">
      <c r="E50" s="2"/>
      <c r="F50" s="9"/>
      <c r="G50" s="6"/>
      <c r="H50" s="2"/>
      <c r="K50" s="2"/>
      <c r="L50" s="9"/>
      <c r="M50" s="2"/>
      <c r="AA50" s="78" t="s">
        <v>289</v>
      </c>
      <c r="AB50" s="84">
        <v>8</v>
      </c>
      <c r="AC50" s="84">
        <v>13.9</v>
      </c>
      <c r="AD50" s="74" t="s">
        <v>290</v>
      </c>
      <c r="AE50" s="74" t="s">
        <v>67</v>
      </c>
      <c r="AF50" s="79" t="s">
        <v>305</v>
      </c>
    </row>
    <row r="51" spans="5:32" x14ac:dyDescent="0.35">
      <c r="E51" s="2"/>
      <c r="F51" s="9"/>
      <c r="G51" s="6"/>
      <c r="H51" s="2"/>
      <c r="K51" s="2"/>
      <c r="L51" s="9"/>
      <c r="M51" s="2"/>
      <c r="AA51" s="78" t="s">
        <v>289</v>
      </c>
      <c r="AB51" s="84">
        <v>28</v>
      </c>
      <c r="AC51" s="84">
        <v>14.1</v>
      </c>
      <c r="AD51" s="74" t="s">
        <v>343</v>
      </c>
      <c r="AE51" s="74" t="s">
        <v>87</v>
      </c>
      <c r="AF51" s="79" t="s">
        <v>344</v>
      </c>
    </row>
    <row r="52" spans="5:32" ht="15" thickBot="1" x14ac:dyDescent="0.4">
      <c r="E52" s="3"/>
      <c r="F52" s="10"/>
      <c r="G52" s="7"/>
      <c r="H52" s="3"/>
      <c r="K52" s="3"/>
      <c r="L52" s="10"/>
      <c r="M52" s="3"/>
      <c r="AA52" s="78" t="s">
        <v>289</v>
      </c>
      <c r="AB52" s="84">
        <v>5</v>
      </c>
      <c r="AC52" s="84">
        <v>14.8</v>
      </c>
      <c r="AD52" s="74" t="s">
        <v>336</v>
      </c>
      <c r="AE52" s="74" t="s">
        <v>234</v>
      </c>
      <c r="AF52" s="79" t="s">
        <v>337</v>
      </c>
    </row>
    <row r="53" spans="5:32" x14ac:dyDescent="0.35">
      <c r="AA53" s="78" t="s">
        <v>289</v>
      </c>
      <c r="AB53" s="84">
        <v>8</v>
      </c>
      <c r="AC53" s="84">
        <v>15</v>
      </c>
      <c r="AD53" s="74" t="s">
        <v>326</v>
      </c>
      <c r="AE53" s="74" t="s">
        <v>70</v>
      </c>
      <c r="AF53" s="79" t="s">
        <v>342</v>
      </c>
    </row>
    <row r="54" spans="5:32" x14ac:dyDescent="0.35">
      <c r="AA54" s="78" t="s">
        <v>288</v>
      </c>
      <c r="AB54" s="84">
        <v>2</v>
      </c>
      <c r="AC54" s="84">
        <v>16.600000000000001</v>
      </c>
      <c r="AD54" s="74" t="s">
        <v>301</v>
      </c>
      <c r="AE54" s="74" t="s">
        <v>73</v>
      </c>
      <c r="AF54" s="79" t="s">
        <v>72</v>
      </c>
    </row>
    <row r="55" spans="5:32" x14ac:dyDescent="0.35">
      <c r="AA55" s="78" t="s">
        <v>288</v>
      </c>
      <c r="AB55" s="84">
        <v>6</v>
      </c>
      <c r="AC55" s="84">
        <v>18.100000000000001</v>
      </c>
      <c r="AD55" s="74" t="s">
        <v>290</v>
      </c>
      <c r="AE55" s="74" t="s">
        <v>53</v>
      </c>
      <c r="AF55" s="79" t="s">
        <v>315</v>
      </c>
    </row>
    <row r="56" spans="5:32" x14ac:dyDescent="0.35">
      <c r="AA56" s="78" t="s">
        <v>306</v>
      </c>
      <c r="AB56" s="84">
        <v>2</v>
      </c>
      <c r="AC56" s="84">
        <v>20.2</v>
      </c>
      <c r="AD56" s="74" t="s">
        <v>326</v>
      </c>
      <c r="AE56" s="74" t="s">
        <v>73</v>
      </c>
      <c r="AF56" s="79" t="s">
        <v>332</v>
      </c>
    </row>
    <row r="57" spans="5:32" x14ac:dyDescent="0.35">
      <c r="AA57" s="78" t="s">
        <v>288</v>
      </c>
      <c r="AB57" s="84">
        <v>2</v>
      </c>
      <c r="AC57" s="84">
        <v>20.8</v>
      </c>
      <c r="AD57" s="74" t="s">
        <v>326</v>
      </c>
      <c r="AE57" s="74" t="s">
        <v>73</v>
      </c>
      <c r="AF57" s="79" t="s">
        <v>72</v>
      </c>
    </row>
    <row r="58" spans="5:32" x14ac:dyDescent="0.35">
      <c r="AA58" s="78" t="s">
        <v>292</v>
      </c>
      <c r="AB58" s="84">
        <v>1</v>
      </c>
      <c r="AC58" s="84">
        <v>22</v>
      </c>
      <c r="AD58" s="74" t="s">
        <v>346</v>
      </c>
      <c r="AE58" s="74" t="s">
        <v>299</v>
      </c>
      <c r="AF58" s="79" t="s">
        <v>313</v>
      </c>
    </row>
    <row r="59" spans="5:32" x14ac:dyDescent="0.35">
      <c r="AA59" s="78" t="s">
        <v>288</v>
      </c>
      <c r="AB59" s="84">
        <v>4</v>
      </c>
      <c r="AC59" s="84">
        <v>22.6</v>
      </c>
      <c r="AD59" s="74" t="s">
        <v>290</v>
      </c>
      <c r="AE59" s="74" t="s">
        <v>267</v>
      </c>
      <c r="AF59" s="79" t="s">
        <v>102</v>
      </c>
    </row>
    <row r="60" spans="5:32" x14ac:dyDescent="0.35">
      <c r="AA60" s="78" t="s">
        <v>288</v>
      </c>
      <c r="AB60" s="84">
        <v>3</v>
      </c>
      <c r="AC60" s="84">
        <v>23</v>
      </c>
      <c r="AD60" s="74" t="s">
        <v>290</v>
      </c>
      <c r="AE60" s="74" t="s">
        <v>265</v>
      </c>
      <c r="AF60" s="79" t="s">
        <v>53</v>
      </c>
    </row>
    <row r="61" spans="5:32" x14ac:dyDescent="0.35">
      <c r="AA61" s="78" t="s">
        <v>288</v>
      </c>
      <c r="AB61" s="84">
        <v>6</v>
      </c>
      <c r="AC61" s="84">
        <v>23.2</v>
      </c>
      <c r="AD61" s="74" t="s">
        <v>317</v>
      </c>
      <c r="AE61" s="74" t="s">
        <v>103</v>
      </c>
      <c r="AF61" s="79" t="s">
        <v>152</v>
      </c>
    </row>
    <row r="62" spans="5:32" x14ac:dyDescent="0.35">
      <c r="AA62" s="78" t="s">
        <v>288</v>
      </c>
      <c r="AB62" s="84">
        <v>6</v>
      </c>
      <c r="AC62" s="84">
        <v>23.9</v>
      </c>
      <c r="AD62" s="74" t="s">
        <v>317</v>
      </c>
      <c r="AE62" s="74" t="s">
        <v>103</v>
      </c>
      <c r="AF62" s="79" t="s">
        <v>313</v>
      </c>
    </row>
    <row r="63" spans="5:32" x14ac:dyDescent="0.35">
      <c r="AA63" s="78" t="s">
        <v>288</v>
      </c>
      <c r="AB63" s="84">
        <v>5</v>
      </c>
      <c r="AC63" s="84">
        <v>25.7</v>
      </c>
      <c r="AD63" s="74" t="s">
        <v>346</v>
      </c>
      <c r="AE63" s="74" t="s">
        <v>265</v>
      </c>
      <c r="AF63" s="79" t="s">
        <v>347</v>
      </c>
    </row>
    <row r="64" spans="5:32" x14ac:dyDescent="0.35">
      <c r="AA64" s="78" t="s">
        <v>288</v>
      </c>
      <c r="AB64" s="84">
        <v>12</v>
      </c>
      <c r="AC64" s="84">
        <v>28.7</v>
      </c>
      <c r="AD64" s="74" t="s">
        <v>290</v>
      </c>
      <c r="AE64" s="74" t="s">
        <v>43</v>
      </c>
      <c r="AF64" s="79" t="s">
        <v>300</v>
      </c>
    </row>
    <row r="65" spans="27:32" x14ac:dyDescent="0.35">
      <c r="AA65" s="78" t="s">
        <v>288</v>
      </c>
      <c r="AB65" s="84">
        <v>5</v>
      </c>
      <c r="AC65" s="84">
        <v>30</v>
      </c>
      <c r="AD65" s="74" t="s">
        <v>317</v>
      </c>
      <c r="AE65" s="74" t="s">
        <v>318</v>
      </c>
      <c r="AF65" s="79" t="s">
        <v>319</v>
      </c>
    </row>
    <row r="66" spans="27:32" x14ac:dyDescent="0.35">
      <c r="AA66" s="78" t="s">
        <v>288</v>
      </c>
      <c r="AB66" s="84">
        <v>10</v>
      </c>
      <c r="AC66" s="84">
        <v>30</v>
      </c>
      <c r="AD66" s="74" t="s">
        <v>326</v>
      </c>
      <c r="AE66" s="74" t="s">
        <v>53</v>
      </c>
      <c r="AF66" s="79" t="s">
        <v>70</v>
      </c>
    </row>
    <row r="67" spans="27:32" x14ac:dyDescent="0.35">
      <c r="AA67" s="78" t="s">
        <v>288</v>
      </c>
      <c r="AB67" s="84">
        <v>16</v>
      </c>
      <c r="AC67" s="84">
        <v>30</v>
      </c>
      <c r="AD67" s="74" t="s">
        <v>326</v>
      </c>
      <c r="AE67" s="74" t="s">
        <v>43</v>
      </c>
      <c r="AF67" s="79" t="s">
        <v>70</v>
      </c>
    </row>
    <row r="68" spans="27:32" x14ac:dyDescent="0.35">
      <c r="AA68" s="78" t="s">
        <v>22</v>
      </c>
      <c r="AB68" s="84">
        <v>80</v>
      </c>
      <c r="AC68" s="84">
        <v>30.9</v>
      </c>
      <c r="AD68" s="74" t="s">
        <v>353</v>
      </c>
      <c r="AE68" s="74" t="s">
        <v>19</v>
      </c>
      <c r="AF68" s="79" t="s">
        <v>350</v>
      </c>
    </row>
    <row r="69" spans="27:32" x14ac:dyDescent="0.35">
      <c r="AA69" s="78" t="s">
        <v>292</v>
      </c>
      <c r="AB69" s="84">
        <v>3</v>
      </c>
      <c r="AC69" s="84">
        <v>36.5</v>
      </c>
      <c r="AD69" s="74" t="s">
        <v>290</v>
      </c>
      <c r="AE69" s="74" t="s">
        <v>152</v>
      </c>
      <c r="AF69" s="79" t="s">
        <v>234</v>
      </c>
    </row>
    <row r="70" spans="27:32" x14ac:dyDescent="0.35">
      <c r="AA70" s="78" t="s">
        <v>292</v>
      </c>
      <c r="AB70" s="84">
        <v>8</v>
      </c>
      <c r="AC70" s="84">
        <v>38</v>
      </c>
      <c r="AD70" s="74" t="s">
        <v>290</v>
      </c>
      <c r="AE70" s="74" t="s">
        <v>298</v>
      </c>
      <c r="AF70" s="79" t="s">
        <v>305</v>
      </c>
    </row>
    <row r="71" spans="27:32" x14ac:dyDescent="0.35">
      <c r="AA71" s="78" t="s">
        <v>22</v>
      </c>
      <c r="AB71" s="84">
        <v>2</v>
      </c>
      <c r="AC71" s="84">
        <v>39.299999999999997</v>
      </c>
      <c r="AD71" s="74" t="s">
        <v>287</v>
      </c>
      <c r="AE71" s="74" t="s">
        <v>19</v>
      </c>
      <c r="AF71" s="79" t="s">
        <v>270</v>
      </c>
    </row>
    <row r="72" spans="27:32" x14ac:dyDescent="0.35">
      <c r="AA72" s="78" t="s">
        <v>292</v>
      </c>
      <c r="AB72" s="84">
        <v>24</v>
      </c>
      <c r="AC72" s="84">
        <v>41</v>
      </c>
      <c r="AD72" s="74" t="s">
        <v>346</v>
      </c>
      <c r="AE72" s="74" t="s">
        <v>351</v>
      </c>
      <c r="AF72" s="79" t="s">
        <v>305</v>
      </c>
    </row>
    <row r="73" spans="27:32" x14ac:dyDescent="0.35">
      <c r="AA73" s="78" t="s">
        <v>22</v>
      </c>
      <c r="AB73" s="84">
        <v>2</v>
      </c>
      <c r="AC73" s="84">
        <v>45.2</v>
      </c>
      <c r="AD73" s="74" t="s">
        <v>287</v>
      </c>
      <c r="AE73" s="74" t="s">
        <v>19</v>
      </c>
      <c r="AF73" s="79" t="s">
        <v>263</v>
      </c>
    </row>
    <row r="74" spans="27:32" x14ac:dyDescent="0.35">
      <c r="AA74" s="78" t="s">
        <v>292</v>
      </c>
      <c r="AB74" s="84">
        <v>2</v>
      </c>
      <c r="AC74" s="84">
        <v>46.4</v>
      </c>
      <c r="AD74" s="74" t="s">
        <v>301</v>
      </c>
      <c r="AE74" s="74" t="s">
        <v>304</v>
      </c>
      <c r="AF74" s="79" t="s">
        <v>152</v>
      </c>
    </row>
    <row r="75" spans="27:32" x14ac:dyDescent="0.35">
      <c r="AA75" s="78" t="s">
        <v>292</v>
      </c>
      <c r="AB75" s="84">
        <v>2</v>
      </c>
      <c r="AC75" s="84">
        <v>46.4</v>
      </c>
      <c r="AD75" s="74" t="s">
        <v>326</v>
      </c>
      <c r="AE75" s="74" t="s">
        <v>331</v>
      </c>
      <c r="AF75" s="79" t="s">
        <v>334</v>
      </c>
    </row>
    <row r="76" spans="27:32" x14ac:dyDescent="0.35">
      <c r="AA76" s="78" t="s">
        <v>335</v>
      </c>
      <c r="AB76" s="84">
        <v>4</v>
      </c>
      <c r="AC76" s="84">
        <v>48.5</v>
      </c>
      <c r="AD76" s="74" t="s">
        <v>336</v>
      </c>
      <c r="AE76" s="74" t="s">
        <v>334</v>
      </c>
      <c r="AF76" s="79" t="s">
        <v>234</v>
      </c>
    </row>
    <row r="77" spans="27:32" x14ac:dyDescent="0.35">
      <c r="AA77" s="78" t="s">
        <v>292</v>
      </c>
      <c r="AB77" s="84">
        <v>20</v>
      </c>
      <c r="AC77" s="84">
        <v>51</v>
      </c>
      <c r="AD77" s="74" t="s">
        <v>346</v>
      </c>
      <c r="AE77" s="74" t="s">
        <v>349</v>
      </c>
      <c r="AF77" s="79" t="s">
        <v>350</v>
      </c>
    </row>
    <row r="78" spans="27:32" x14ac:dyDescent="0.35">
      <c r="AA78" s="78" t="s">
        <v>22</v>
      </c>
      <c r="AB78" s="84">
        <v>2</v>
      </c>
      <c r="AC78" s="84">
        <v>56.6</v>
      </c>
      <c r="AD78" s="74" t="s">
        <v>287</v>
      </c>
      <c r="AE78" s="74" t="s">
        <v>19</v>
      </c>
      <c r="AF78" s="79" t="s">
        <v>264</v>
      </c>
    </row>
    <row r="79" spans="27:32" x14ac:dyDescent="0.35">
      <c r="AA79" s="78" t="s">
        <v>335</v>
      </c>
      <c r="AB79" s="84">
        <v>8</v>
      </c>
      <c r="AC79" s="84">
        <v>69.599999999999994</v>
      </c>
      <c r="AD79" s="74" t="s">
        <v>336</v>
      </c>
      <c r="AE79" s="74" t="s">
        <v>271</v>
      </c>
      <c r="AF79" s="79" t="s">
        <v>338</v>
      </c>
    </row>
    <row r="80" spans="27:32" x14ac:dyDescent="0.35">
      <c r="AA80" s="78" t="s">
        <v>335</v>
      </c>
      <c r="AB80" s="84">
        <v>15</v>
      </c>
      <c r="AC80" s="84">
        <v>73.900000000000006</v>
      </c>
      <c r="AD80" s="74" t="s">
        <v>346</v>
      </c>
      <c r="AE80" s="74" t="s">
        <v>347</v>
      </c>
      <c r="AF80" s="79" t="s">
        <v>348</v>
      </c>
    </row>
    <row r="81" spans="27:32" x14ac:dyDescent="0.35">
      <c r="AA81" s="78" t="s">
        <v>21</v>
      </c>
      <c r="AB81" s="84">
        <v>1</v>
      </c>
      <c r="AC81" s="84">
        <v>112.5</v>
      </c>
      <c r="AD81" s="74" t="s">
        <v>336</v>
      </c>
      <c r="AE81" s="74" t="s">
        <v>49</v>
      </c>
      <c r="AF81" s="79" t="s">
        <v>43</v>
      </c>
    </row>
    <row r="82" spans="27:32" x14ac:dyDescent="0.35">
      <c r="AA82" s="78" t="s">
        <v>21</v>
      </c>
      <c r="AB82" s="84">
        <v>1</v>
      </c>
      <c r="AC82" s="84">
        <v>118.7</v>
      </c>
      <c r="AD82" s="74" t="s">
        <v>345</v>
      </c>
      <c r="AE82" s="74" t="s">
        <v>61</v>
      </c>
      <c r="AF82" s="79" t="s">
        <v>87</v>
      </c>
    </row>
    <row r="83" spans="27:32" x14ac:dyDescent="0.35">
      <c r="AA83" s="78" t="s">
        <v>21</v>
      </c>
      <c r="AB83" s="84">
        <v>1</v>
      </c>
      <c r="AC83" s="84">
        <v>118.7</v>
      </c>
      <c r="AD83" s="74" t="s">
        <v>345</v>
      </c>
      <c r="AE83" s="74" t="s">
        <v>61</v>
      </c>
      <c r="AF83" s="79" t="s">
        <v>87</v>
      </c>
    </row>
    <row r="84" spans="27:32" x14ac:dyDescent="0.35">
      <c r="AA84" s="78" t="s">
        <v>23</v>
      </c>
      <c r="AB84" s="84">
        <v>1</v>
      </c>
      <c r="AC84" s="84">
        <v>134.30000000000001</v>
      </c>
      <c r="AD84" s="74" t="s">
        <v>345</v>
      </c>
      <c r="AE84" s="74" t="s">
        <v>20</v>
      </c>
      <c r="AF84" s="79" t="s">
        <v>103</v>
      </c>
    </row>
    <row r="85" spans="27:32" x14ac:dyDescent="0.35">
      <c r="AA85" s="78" t="s">
        <v>21</v>
      </c>
      <c r="AB85" s="84">
        <v>1</v>
      </c>
      <c r="AC85" s="84">
        <v>151.1</v>
      </c>
      <c r="AD85" s="74" t="s">
        <v>345</v>
      </c>
      <c r="AE85" s="74" t="s">
        <v>88</v>
      </c>
      <c r="AF85" s="79" t="s">
        <v>87</v>
      </c>
    </row>
    <row r="86" spans="27:32" x14ac:dyDescent="0.35">
      <c r="AA86" s="78"/>
      <c r="AB86" s="84"/>
      <c r="AC86" s="84"/>
      <c r="AD86" s="74"/>
      <c r="AE86" s="74"/>
      <c r="AF86" s="79"/>
    </row>
    <row r="87" spans="27:32" x14ac:dyDescent="0.35">
      <c r="AA87" s="78"/>
      <c r="AB87" s="84"/>
      <c r="AC87" s="84"/>
      <c r="AD87" s="74"/>
      <c r="AE87" s="74"/>
      <c r="AF87" s="79"/>
    </row>
    <row r="88" spans="27:32" x14ac:dyDescent="0.35">
      <c r="AA88" s="78"/>
      <c r="AB88" s="74"/>
      <c r="AC88" s="74"/>
      <c r="AD88" s="74"/>
      <c r="AE88" s="74"/>
      <c r="AF88" s="79"/>
    </row>
    <row r="89" spans="27:32" x14ac:dyDescent="0.35">
      <c r="AA89" s="78" t="s">
        <v>322</v>
      </c>
      <c r="AB89" s="84">
        <v>1</v>
      </c>
      <c r="AC89" s="84" t="s">
        <v>320</v>
      </c>
      <c r="AD89" s="74" t="s">
        <v>317</v>
      </c>
      <c r="AE89" s="74" t="s">
        <v>319</v>
      </c>
      <c r="AF89" s="79" t="s">
        <v>321</v>
      </c>
    </row>
    <row r="90" spans="27:32" x14ac:dyDescent="0.35">
      <c r="AA90" s="78" t="s">
        <v>323</v>
      </c>
      <c r="AB90" s="84">
        <v>2</v>
      </c>
      <c r="AC90" s="84" t="s">
        <v>324</v>
      </c>
      <c r="AD90" s="74" t="s">
        <v>317</v>
      </c>
      <c r="AE90" s="74" t="s">
        <v>325</v>
      </c>
      <c r="AF90" s="79" t="s">
        <v>313</v>
      </c>
    </row>
    <row r="91" spans="27:32" x14ac:dyDescent="0.35">
      <c r="AA91" s="78" t="s">
        <v>322</v>
      </c>
      <c r="AB91" s="84">
        <v>12</v>
      </c>
      <c r="AC91" s="74" t="s">
        <v>352</v>
      </c>
      <c r="AD91" s="74" t="s">
        <v>346</v>
      </c>
      <c r="AE91" s="74" t="s">
        <v>348</v>
      </c>
      <c r="AF91" s="79" t="s">
        <v>337</v>
      </c>
    </row>
    <row r="92" spans="27:32" x14ac:dyDescent="0.35">
      <c r="AA92" s="78" t="s">
        <v>361</v>
      </c>
      <c r="AB92" s="84">
        <v>24</v>
      </c>
      <c r="AC92" s="74">
        <v>1</v>
      </c>
      <c r="AD92" s="74"/>
      <c r="AE92" s="74"/>
      <c r="AF92" s="79"/>
    </row>
    <row r="93" spans="27:32" x14ac:dyDescent="0.35">
      <c r="AA93" s="78"/>
      <c r="AB93" s="74"/>
      <c r="AC93" s="74"/>
      <c r="AD93" s="74"/>
      <c r="AE93" s="74"/>
      <c r="AF93" s="79"/>
    </row>
    <row r="94" spans="27:32" x14ac:dyDescent="0.35">
      <c r="AA94" s="78"/>
      <c r="AB94" s="74">
        <f>SUM(AB19:AB91)</f>
        <v>460</v>
      </c>
      <c r="AC94" s="74"/>
      <c r="AD94" s="74"/>
      <c r="AE94" s="74"/>
      <c r="AF94" s="79"/>
    </row>
    <row r="95" spans="27:32" ht="15" thickBot="1" x14ac:dyDescent="0.4">
      <c r="AA95" s="80"/>
      <c r="AB95" s="81"/>
      <c r="AC95" s="81"/>
      <c r="AD95" s="81"/>
      <c r="AE95" s="81"/>
      <c r="AF95" s="82"/>
    </row>
  </sheetData>
  <sortState xmlns:xlrd2="http://schemas.microsoft.com/office/spreadsheetml/2017/richdata2" ref="K20:M32">
    <sortCondition descending="1" ref="L20:L32"/>
  </sortState>
  <mergeCells count="10">
    <mergeCell ref="W29:Y29"/>
    <mergeCell ref="S19:T19"/>
    <mergeCell ref="O18:T18"/>
    <mergeCell ref="K18:M18"/>
    <mergeCell ref="E18:H18"/>
    <mergeCell ref="O19:P19"/>
    <mergeCell ref="Q19:R19"/>
    <mergeCell ref="V18:Y18"/>
    <mergeCell ref="V19:W19"/>
    <mergeCell ref="X19:Y19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FBA27-8529-48F2-B06A-7AF70687B38B}">
  <dimension ref="B1:L49"/>
  <sheetViews>
    <sheetView workbookViewId="0">
      <selection activeCell="P29" sqref="P29"/>
    </sheetView>
  </sheetViews>
  <sheetFormatPr defaultRowHeight="14.5" x14ac:dyDescent="0.35"/>
  <cols>
    <col min="2" max="2" width="25.90625" bestFit="1" customWidth="1"/>
    <col min="3" max="3" width="18" customWidth="1"/>
    <col min="5" max="5" width="16.453125" bestFit="1" customWidth="1"/>
    <col min="6" max="6" width="8.81640625" bestFit="1" customWidth="1"/>
    <col min="7" max="7" width="21.08984375" bestFit="1" customWidth="1"/>
    <col min="8" max="8" width="15.1796875" bestFit="1" customWidth="1"/>
    <col min="10" max="10" width="22.36328125" bestFit="1" customWidth="1"/>
    <col min="11" max="11" width="7.36328125" bestFit="1" customWidth="1"/>
    <col min="12" max="12" width="16.26953125" bestFit="1" customWidth="1"/>
    <col min="15" max="15" width="10" customWidth="1"/>
  </cols>
  <sheetData>
    <row r="1" spans="2:12" ht="15" thickBot="1" x14ac:dyDescent="0.4"/>
    <row r="2" spans="2:12" x14ac:dyDescent="0.35">
      <c r="B2" s="20" t="s">
        <v>9</v>
      </c>
      <c r="C2" s="24" t="s">
        <v>375</v>
      </c>
    </row>
    <row r="3" spans="2:12" ht="43.5" x14ac:dyDescent="0.35">
      <c r="B3" s="27" t="s">
        <v>10</v>
      </c>
      <c r="C3" s="31" t="s">
        <v>383</v>
      </c>
    </row>
    <row r="4" spans="2:12" ht="29" x14ac:dyDescent="0.35">
      <c r="B4" s="29" t="s">
        <v>11</v>
      </c>
      <c r="C4" s="37" t="s">
        <v>451</v>
      </c>
    </row>
    <row r="5" spans="2:12" x14ac:dyDescent="0.35">
      <c r="B5" s="21" t="s">
        <v>12</v>
      </c>
      <c r="C5" s="25"/>
    </row>
    <row r="6" spans="2:12" x14ac:dyDescent="0.35">
      <c r="B6" s="21" t="s">
        <v>236</v>
      </c>
      <c r="C6" s="25" t="s">
        <v>388</v>
      </c>
    </row>
    <row r="7" spans="2:12" x14ac:dyDescent="0.35">
      <c r="B7" s="21" t="s">
        <v>237</v>
      </c>
      <c r="C7" s="25" t="s">
        <v>390</v>
      </c>
    </row>
    <row r="8" spans="2:12" x14ac:dyDescent="0.35">
      <c r="B8" s="21" t="s">
        <v>238</v>
      </c>
      <c r="C8" s="25" t="s">
        <v>389</v>
      </c>
    </row>
    <row r="9" spans="2:12" x14ac:dyDescent="0.35">
      <c r="B9" s="21" t="s">
        <v>239</v>
      </c>
      <c r="C9" s="25" t="s">
        <v>391</v>
      </c>
    </row>
    <row r="10" spans="2:12" x14ac:dyDescent="0.35">
      <c r="B10" s="21" t="s">
        <v>240</v>
      </c>
      <c r="C10" s="25" t="s">
        <v>392</v>
      </c>
    </row>
    <row r="11" spans="2:12" x14ac:dyDescent="0.35">
      <c r="B11" s="21" t="s">
        <v>241</v>
      </c>
      <c r="C11" s="25" t="s">
        <v>393</v>
      </c>
    </row>
    <row r="12" spans="2:12" x14ac:dyDescent="0.35">
      <c r="B12" s="21" t="s">
        <v>376</v>
      </c>
      <c r="C12" s="25" t="s">
        <v>378</v>
      </c>
    </row>
    <row r="13" spans="2:12" ht="15" thickBot="1" x14ac:dyDescent="0.4">
      <c r="B13" s="22" t="s">
        <v>377</v>
      </c>
      <c r="C13" s="26" t="s">
        <v>379</v>
      </c>
    </row>
    <row r="14" spans="2:12" ht="15" thickBot="1" x14ac:dyDescent="0.4">
      <c r="C14" s="23"/>
    </row>
    <row r="15" spans="2:12" ht="15" thickBot="1" x14ac:dyDescent="0.4">
      <c r="C15" s="23"/>
      <c r="E15" s="139" t="s">
        <v>15</v>
      </c>
      <c r="F15" s="140"/>
      <c r="G15" s="140"/>
      <c r="H15" s="141"/>
      <c r="J15" s="111" t="s">
        <v>16</v>
      </c>
      <c r="K15" s="112"/>
      <c r="L15" s="113"/>
    </row>
    <row r="16" spans="2:12" ht="15" thickBot="1" x14ac:dyDescent="0.4">
      <c r="C16" s="23"/>
      <c r="E16" s="14" t="s">
        <v>0</v>
      </c>
      <c r="F16" s="12" t="s">
        <v>1</v>
      </c>
      <c r="G16" s="14" t="s">
        <v>2</v>
      </c>
      <c r="H16" s="34" t="s">
        <v>253</v>
      </c>
      <c r="J16" s="14" t="s">
        <v>0</v>
      </c>
      <c r="K16" s="12" t="s">
        <v>1</v>
      </c>
      <c r="L16" s="14" t="s">
        <v>24</v>
      </c>
    </row>
    <row r="17" spans="3:12" x14ac:dyDescent="0.35">
      <c r="C17" s="23"/>
      <c r="E17" s="4" t="s">
        <v>41</v>
      </c>
      <c r="F17" s="8">
        <f>41+47/54</f>
        <v>41.870370370370374</v>
      </c>
      <c r="G17" s="5" t="s">
        <v>33</v>
      </c>
      <c r="H17" s="70" t="s">
        <v>272</v>
      </c>
      <c r="J17" s="38" t="s">
        <v>380</v>
      </c>
      <c r="K17" s="8">
        <v>5</v>
      </c>
      <c r="L17" s="4" t="s">
        <v>8</v>
      </c>
    </row>
    <row r="18" spans="3:12" x14ac:dyDescent="0.35">
      <c r="C18" s="23"/>
      <c r="E18" s="2" t="s">
        <v>380</v>
      </c>
      <c r="F18" s="9">
        <v>3000</v>
      </c>
      <c r="G18" s="5" t="s">
        <v>60</v>
      </c>
      <c r="H18" s="2"/>
      <c r="J18" s="38" t="s">
        <v>384</v>
      </c>
      <c r="K18" s="9">
        <v>1.75</v>
      </c>
      <c r="L18" s="4" t="s">
        <v>8</v>
      </c>
    </row>
    <row r="19" spans="3:12" x14ac:dyDescent="0.35">
      <c r="C19" s="23"/>
      <c r="E19" s="2" t="s">
        <v>19</v>
      </c>
      <c r="F19" s="9">
        <f>1221+113/135</f>
        <v>1221.8370370370371</v>
      </c>
      <c r="G19" s="5" t="s">
        <v>62</v>
      </c>
      <c r="H19" s="2"/>
      <c r="J19" s="38" t="s">
        <v>385</v>
      </c>
      <c r="K19" s="9">
        <v>2.91</v>
      </c>
      <c r="L19" s="4" t="s">
        <v>8</v>
      </c>
    </row>
    <row r="20" spans="3:12" x14ac:dyDescent="0.35">
      <c r="C20" s="23"/>
      <c r="E20" s="2" t="s">
        <v>52</v>
      </c>
      <c r="F20" s="9">
        <v>1200</v>
      </c>
      <c r="G20" s="6" t="s">
        <v>60</v>
      </c>
      <c r="H20" s="2"/>
      <c r="J20" s="38" t="s">
        <v>386</v>
      </c>
      <c r="K20" s="9">
        <v>2.83</v>
      </c>
      <c r="L20" s="4" t="s">
        <v>8</v>
      </c>
    </row>
    <row r="21" spans="3:12" x14ac:dyDescent="0.35">
      <c r="C21" s="23"/>
      <c r="E21" s="2" t="s">
        <v>52</v>
      </c>
      <c r="F21" s="9">
        <f>21+113/135</f>
        <v>21.837037037037035</v>
      </c>
      <c r="G21" s="6" t="s">
        <v>381</v>
      </c>
      <c r="H21" s="2"/>
      <c r="J21" s="38" t="s">
        <v>387</v>
      </c>
      <c r="K21" s="9">
        <f>857+17/90-K22-K23</f>
        <v>17.188888888888869</v>
      </c>
      <c r="L21" s="4" t="s">
        <v>8</v>
      </c>
    </row>
    <row r="22" spans="3:12" x14ac:dyDescent="0.35">
      <c r="C22" s="23"/>
      <c r="E22" s="2" t="s">
        <v>208</v>
      </c>
      <c r="F22" s="9">
        <f>543+28/45</f>
        <v>543.62222222222226</v>
      </c>
      <c r="G22" s="6" t="s">
        <v>382</v>
      </c>
      <c r="H22" s="2"/>
      <c r="J22" s="38" t="s">
        <v>387</v>
      </c>
      <c r="K22" s="9">
        <v>80</v>
      </c>
      <c r="L22" s="4" t="s">
        <v>397</v>
      </c>
    </row>
    <row r="23" spans="3:12" x14ac:dyDescent="0.35">
      <c r="C23" s="23"/>
      <c r="E23" s="2"/>
      <c r="F23" s="9"/>
      <c r="G23" s="6"/>
      <c r="H23" s="2"/>
      <c r="J23" s="38" t="s">
        <v>387</v>
      </c>
      <c r="K23" s="9">
        <v>760</v>
      </c>
      <c r="L23" s="4" t="s">
        <v>442</v>
      </c>
    </row>
    <row r="24" spans="3:12" x14ac:dyDescent="0.35">
      <c r="C24" s="23"/>
      <c r="E24" s="2"/>
      <c r="F24" s="9"/>
      <c r="G24" s="6"/>
      <c r="H24" s="2"/>
      <c r="J24" s="11"/>
      <c r="K24" s="9"/>
      <c r="L24" s="4"/>
    </row>
    <row r="25" spans="3:12" x14ac:dyDescent="0.35">
      <c r="C25" s="23"/>
      <c r="E25" s="2"/>
      <c r="F25" s="9"/>
      <c r="G25" s="6"/>
      <c r="H25" s="2"/>
      <c r="J25" s="11"/>
      <c r="K25" s="9"/>
      <c r="L25" s="4"/>
    </row>
    <row r="26" spans="3:12" x14ac:dyDescent="0.35">
      <c r="C26" s="23"/>
      <c r="E26" s="2"/>
      <c r="F26" s="9"/>
      <c r="G26" s="6"/>
      <c r="H26" s="2"/>
      <c r="J26" s="11"/>
      <c r="K26" s="9"/>
      <c r="L26" s="4"/>
    </row>
    <row r="27" spans="3:12" x14ac:dyDescent="0.35">
      <c r="C27" s="23"/>
      <c r="E27" s="2"/>
      <c r="F27" s="9"/>
      <c r="G27" s="6"/>
      <c r="H27" s="2"/>
      <c r="J27" s="11"/>
      <c r="K27" s="9"/>
      <c r="L27" s="4"/>
    </row>
    <row r="28" spans="3:12" x14ac:dyDescent="0.35">
      <c r="C28" s="23"/>
      <c r="E28" s="2"/>
      <c r="F28" s="9"/>
      <c r="G28" s="6"/>
      <c r="H28" s="2"/>
      <c r="J28" s="11"/>
      <c r="K28" s="9"/>
      <c r="L28" s="4"/>
    </row>
    <row r="29" spans="3:12" x14ac:dyDescent="0.35">
      <c r="C29" s="23"/>
      <c r="E29" s="2"/>
      <c r="F29" s="9"/>
      <c r="G29" s="6"/>
      <c r="H29" s="2"/>
      <c r="J29" s="11"/>
      <c r="K29" s="9"/>
      <c r="L29" s="4"/>
    </row>
    <row r="30" spans="3:12" x14ac:dyDescent="0.35">
      <c r="C30" s="23"/>
      <c r="E30" s="2"/>
      <c r="F30" s="9"/>
      <c r="G30" s="6"/>
      <c r="H30" s="2"/>
      <c r="J30" s="11"/>
      <c r="K30" s="9"/>
      <c r="L30" s="4"/>
    </row>
    <row r="31" spans="3:12" x14ac:dyDescent="0.35">
      <c r="C31" s="23"/>
      <c r="E31" s="2"/>
      <c r="F31" s="9"/>
      <c r="G31" s="6"/>
      <c r="H31" s="2"/>
      <c r="J31" s="11"/>
      <c r="K31" s="9"/>
      <c r="L31" s="4"/>
    </row>
    <row r="32" spans="3:12" x14ac:dyDescent="0.35">
      <c r="C32" s="23"/>
      <c r="E32" s="2"/>
      <c r="F32" s="9"/>
      <c r="G32" s="6"/>
      <c r="H32" s="2"/>
      <c r="J32" s="11"/>
      <c r="K32" s="9"/>
      <c r="L32" s="4"/>
    </row>
    <row r="33" spans="3:12" x14ac:dyDescent="0.35">
      <c r="C33" s="23"/>
      <c r="E33" s="2"/>
      <c r="F33" s="9"/>
      <c r="G33" s="6"/>
      <c r="H33" s="2"/>
      <c r="J33" s="11"/>
      <c r="K33" s="9"/>
      <c r="L33" s="4"/>
    </row>
    <row r="34" spans="3:12" x14ac:dyDescent="0.35">
      <c r="C34" s="23"/>
      <c r="E34" s="2"/>
      <c r="F34" s="9"/>
      <c r="G34" s="6"/>
      <c r="H34" s="2"/>
      <c r="J34" s="11"/>
      <c r="K34" s="9"/>
      <c r="L34" s="4"/>
    </row>
    <row r="35" spans="3:12" x14ac:dyDescent="0.35">
      <c r="C35" s="23"/>
      <c r="E35" s="2"/>
      <c r="F35" s="9"/>
      <c r="G35" s="6"/>
      <c r="H35" s="2"/>
      <c r="J35" s="11"/>
      <c r="K35" s="9"/>
      <c r="L35" s="2"/>
    </row>
    <row r="36" spans="3:12" x14ac:dyDescent="0.35">
      <c r="C36" s="23"/>
      <c r="E36" s="2"/>
      <c r="F36" s="9"/>
      <c r="G36" s="6"/>
      <c r="H36" s="2"/>
      <c r="J36" s="11"/>
      <c r="K36" s="9"/>
      <c r="L36" s="2"/>
    </row>
    <row r="37" spans="3:12" x14ac:dyDescent="0.35">
      <c r="C37" s="23"/>
      <c r="E37" s="2"/>
      <c r="F37" s="9"/>
      <c r="G37" s="6"/>
      <c r="H37" s="2"/>
      <c r="J37" s="11"/>
      <c r="K37" s="9"/>
      <c r="L37" s="2"/>
    </row>
    <row r="38" spans="3:12" x14ac:dyDescent="0.35">
      <c r="C38" s="23"/>
      <c r="E38" s="2"/>
      <c r="F38" s="9"/>
      <c r="G38" s="6"/>
      <c r="H38" s="2"/>
      <c r="J38" s="11"/>
      <c r="K38" s="9"/>
      <c r="L38" s="2"/>
    </row>
    <row r="39" spans="3:12" x14ac:dyDescent="0.35">
      <c r="E39" s="2"/>
      <c r="F39" s="9"/>
      <c r="G39" s="6"/>
      <c r="H39" s="2"/>
      <c r="J39" s="11"/>
      <c r="K39" s="9"/>
      <c r="L39" s="2"/>
    </row>
    <row r="40" spans="3:12" x14ac:dyDescent="0.35">
      <c r="E40" s="2"/>
      <c r="F40" s="9"/>
      <c r="G40" s="6"/>
      <c r="H40" s="2"/>
      <c r="J40" s="11"/>
      <c r="K40" s="9"/>
      <c r="L40" s="2"/>
    </row>
    <row r="41" spans="3:12" x14ac:dyDescent="0.35">
      <c r="E41" s="2"/>
      <c r="F41" s="9"/>
      <c r="G41" s="6"/>
      <c r="H41" s="2"/>
      <c r="J41" s="11"/>
      <c r="K41" s="9"/>
      <c r="L41" s="2"/>
    </row>
    <row r="42" spans="3:12" x14ac:dyDescent="0.35">
      <c r="E42" s="2"/>
      <c r="F42" s="9"/>
      <c r="G42" s="6"/>
      <c r="H42" s="2"/>
      <c r="J42" s="11"/>
      <c r="K42" s="9"/>
      <c r="L42" s="2"/>
    </row>
    <row r="43" spans="3:12" x14ac:dyDescent="0.35">
      <c r="E43" s="2"/>
      <c r="F43" s="9"/>
      <c r="G43" s="6"/>
      <c r="H43" s="2"/>
      <c r="J43" s="11"/>
      <c r="K43" s="9"/>
      <c r="L43" s="2"/>
    </row>
    <row r="44" spans="3:12" x14ac:dyDescent="0.35">
      <c r="E44" s="2"/>
      <c r="F44" s="9"/>
      <c r="G44" s="6"/>
      <c r="H44" s="2"/>
      <c r="J44" s="11"/>
      <c r="K44" s="9"/>
      <c r="L44" s="2"/>
    </row>
    <row r="45" spans="3:12" x14ac:dyDescent="0.35">
      <c r="E45" s="2"/>
      <c r="F45" s="9"/>
      <c r="G45" s="6"/>
      <c r="H45" s="2"/>
      <c r="J45" s="11"/>
      <c r="K45" s="9"/>
      <c r="L45" s="2"/>
    </row>
    <row r="46" spans="3:12" x14ac:dyDescent="0.35">
      <c r="E46" s="2"/>
      <c r="F46" s="9"/>
      <c r="G46" s="6"/>
      <c r="H46" s="2"/>
      <c r="J46" s="2"/>
      <c r="K46" s="9"/>
      <c r="L46" s="2"/>
    </row>
    <row r="47" spans="3:12" x14ac:dyDescent="0.35">
      <c r="E47" s="2"/>
      <c r="F47" s="9"/>
      <c r="G47" s="6"/>
      <c r="H47" s="2"/>
      <c r="J47" s="2"/>
      <c r="K47" s="9"/>
      <c r="L47" s="2"/>
    </row>
    <row r="48" spans="3:12" x14ac:dyDescent="0.35">
      <c r="E48" s="2"/>
      <c r="F48" s="9"/>
      <c r="G48" s="6"/>
      <c r="H48" s="2"/>
      <c r="J48" s="2"/>
      <c r="K48" s="9"/>
      <c r="L48" s="2"/>
    </row>
    <row r="49" spans="5:12" ht="15" thickBot="1" x14ac:dyDescent="0.4">
      <c r="E49" s="3"/>
      <c r="F49" s="10"/>
      <c r="G49" s="7"/>
      <c r="H49" s="3"/>
      <c r="J49" s="3"/>
      <c r="K49" s="10"/>
      <c r="L49" s="3"/>
    </row>
  </sheetData>
  <mergeCells count="2">
    <mergeCell ref="J15:L15"/>
    <mergeCell ref="E15:H15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AD2B8-3E41-467A-948D-46D21324EAFF}">
  <dimension ref="B2:L45"/>
  <sheetViews>
    <sheetView workbookViewId="0">
      <selection activeCell="H24" sqref="H24"/>
    </sheetView>
  </sheetViews>
  <sheetFormatPr defaultRowHeight="14.5" x14ac:dyDescent="0.35"/>
  <cols>
    <col min="2" max="2" width="17.81640625" bestFit="1" customWidth="1"/>
    <col min="3" max="3" width="26.7265625" customWidth="1"/>
    <col min="5" max="5" width="14.26953125" bestFit="1" customWidth="1"/>
    <col min="6" max="6" width="7.36328125" bestFit="1" customWidth="1"/>
    <col min="7" max="7" width="17" bestFit="1" customWidth="1"/>
    <col min="8" max="8" width="15.1796875" bestFit="1" customWidth="1"/>
    <col min="10" max="10" width="18.08984375" bestFit="1" customWidth="1"/>
    <col min="11" max="11" width="7.36328125" bestFit="1" customWidth="1"/>
    <col min="12" max="12" width="16.26953125" bestFit="1" customWidth="1"/>
  </cols>
  <sheetData>
    <row r="2" spans="2:12" ht="15" thickBot="1" x14ac:dyDescent="0.4"/>
    <row r="3" spans="2:12" x14ac:dyDescent="0.35">
      <c r="B3" s="20" t="s">
        <v>9</v>
      </c>
      <c r="C3" s="24" t="s">
        <v>397</v>
      </c>
    </row>
    <row r="4" spans="2:12" ht="87" x14ac:dyDescent="0.35">
      <c r="B4" s="27" t="s">
        <v>10</v>
      </c>
      <c r="C4" s="28" t="s">
        <v>407</v>
      </c>
    </row>
    <row r="5" spans="2:12" x14ac:dyDescent="0.35">
      <c r="B5" s="21" t="s">
        <v>11</v>
      </c>
      <c r="C5" s="25"/>
    </row>
    <row r="6" spans="2:12" x14ac:dyDescent="0.35">
      <c r="B6" s="21" t="s">
        <v>12</v>
      </c>
      <c r="C6" s="25"/>
    </row>
    <row r="7" spans="2:12" x14ac:dyDescent="0.35">
      <c r="B7" s="21" t="s">
        <v>13</v>
      </c>
      <c r="C7" s="25" t="s">
        <v>410</v>
      </c>
    </row>
    <row r="8" spans="2:12" x14ac:dyDescent="0.35">
      <c r="B8" s="21" t="s">
        <v>14</v>
      </c>
      <c r="C8" s="25" t="s">
        <v>412</v>
      </c>
    </row>
    <row r="9" spans="2:12" x14ac:dyDescent="0.35">
      <c r="B9" s="21" t="s">
        <v>31</v>
      </c>
      <c r="C9" s="25" t="s">
        <v>411</v>
      </c>
    </row>
    <row r="10" spans="2:12" ht="15" thickBot="1" x14ac:dyDescent="0.4">
      <c r="B10" s="22" t="s">
        <v>32</v>
      </c>
      <c r="C10" s="26" t="s">
        <v>413</v>
      </c>
    </row>
    <row r="11" spans="2:12" ht="15" thickBot="1" x14ac:dyDescent="0.4">
      <c r="C11" s="23"/>
      <c r="E11" s="111" t="s">
        <v>15</v>
      </c>
      <c r="F11" s="112"/>
      <c r="G11" s="112"/>
      <c r="H11" s="141"/>
      <c r="J11" s="111" t="s">
        <v>16</v>
      </c>
      <c r="K11" s="112"/>
      <c r="L11" s="113"/>
    </row>
    <row r="12" spans="2:12" ht="15" thickBot="1" x14ac:dyDescent="0.4">
      <c r="C12" s="23"/>
      <c r="E12" s="32" t="s">
        <v>0</v>
      </c>
      <c r="F12" s="33" t="s">
        <v>1</v>
      </c>
      <c r="G12" s="87" t="s">
        <v>2</v>
      </c>
      <c r="H12" s="52" t="s">
        <v>403</v>
      </c>
      <c r="J12" s="14" t="s">
        <v>0</v>
      </c>
      <c r="K12" s="12" t="s">
        <v>1</v>
      </c>
      <c r="L12" s="14" t="s">
        <v>24</v>
      </c>
    </row>
    <row r="13" spans="2:12" x14ac:dyDescent="0.35">
      <c r="C13" s="23"/>
      <c r="E13" s="4" t="s">
        <v>151</v>
      </c>
      <c r="F13" s="8">
        <v>1</v>
      </c>
      <c r="G13" s="5" t="s">
        <v>146</v>
      </c>
      <c r="H13" s="88"/>
      <c r="J13" s="4" t="s">
        <v>409</v>
      </c>
      <c r="K13" s="8">
        <v>4</v>
      </c>
      <c r="L13" s="4" t="s">
        <v>8</v>
      </c>
    </row>
    <row r="14" spans="2:12" x14ac:dyDescent="0.35">
      <c r="C14" s="23"/>
      <c r="E14" s="2" t="s">
        <v>53</v>
      </c>
      <c r="F14" s="9">
        <f>3+1/3</f>
        <v>3.3333333333333335</v>
      </c>
      <c r="G14" s="5" t="s">
        <v>50</v>
      </c>
      <c r="H14" s="79"/>
      <c r="J14" s="4"/>
      <c r="K14" s="9"/>
      <c r="L14" s="4"/>
    </row>
    <row r="15" spans="2:12" x14ac:dyDescent="0.35">
      <c r="C15" s="23"/>
      <c r="E15" s="2" t="s">
        <v>103</v>
      </c>
      <c r="F15" s="9">
        <v>14</v>
      </c>
      <c r="G15" s="5" t="s">
        <v>106</v>
      </c>
      <c r="H15" s="79"/>
      <c r="J15" s="4"/>
      <c r="K15" s="9"/>
      <c r="L15" s="4"/>
    </row>
    <row r="16" spans="2:12" x14ac:dyDescent="0.35">
      <c r="C16" s="23"/>
      <c r="E16" s="2" t="s">
        <v>86</v>
      </c>
      <c r="F16" s="9">
        <v>20</v>
      </c>
      <c r="G16" s="6" t="s">
        <v>85</v>
      </c>
      <c r="H16" s="79"/>
      <c r="J16" s="4"/>
      <c r="K16" s="9"/>
      <c r="L16" s="4"/>
    </row>
    <row r="17" spans="3:12" x14ac:dyDescent="0.35">
      <c r="C17" s="23"/>
      <c r="E17" s="2" t="s">
        <v>41</v>
      </c>
      <c r="F17" s="9">
        <f>30+230/243</f>
        <v>30.94650205761317</v>
      </c>
      <c r="G17" s="6" t="s">
        <v>33</v>
      </c>
      <c r="H17" s="79" t="s">
        <v>272</v>
      </c>
      <c r="J17" s="4"/>
      <c r="K17" s="9"/>
      <c r="L17" s="4"/>
    </row>
    <row r="18" spans="3:12" x14ac:dyDescent="0.35">
      <c r="C18" s="23"/>
      <c r="E18" s="2" t="s">
        <v>87</v>
      </c>
      <c r="F18" s="9">
        <v>35.200000000000003</v>
      </c>
      <c r="G18" s="6" t="s">
        <v>130</v>
      </c>
      <c r="H18" s="79"/>
      <c r="J18" s="4"/>
      <c r="K18" s="9"/>
      <c r="L18" s="4"/>
    </row>
    <row r="19" spans="3:12" x14ac:dyDescent="0.35">
      <c r="C19" s="23"/>
      <c r="E19" s="2" t="s">
        <v>387</v>
      </c>
      <c r="F19" s="9">
        <v>80</v>
      </c>
      <c r="G19" s="6" t="s">
        <v>375</v>
      </c>
      <c r="H19" s="79"/>
      <c r="J19" s="4"/>
      <c r="K19" s="9"/>
      <c r="L19" s="4"/>
    </row>
    <row r="20" spans="3:12" x14ac:dyDescent="0.35">
      <c r="C20" s="23"/>
      <c r="E20" s="2" t="s">
        <v>54</v>
      </c>
      <c r="F20" s="9">
        <f>111+7/9</f>
        <v>111.77777777777777</v>
      </c>
      <c r="G20" s="6" t="s">
        <v>55</v>
      </c>
      <c r="H20" s="79" t="s">
        <v>254</v>
      </c>
      <c r="J20" s="2"/>
      <c r="K20" s="9"/>
      <c r="L20" s="4"/>
    </row>
    <row r="21" spans="3:12" x14ac:dyDescent="0.35">
      <c r="C21" s="23"/>
      <c r="E21" s="2" t="s">
        <v>34</v>
      </c>
      <c r="F21" s="9">
        <f>128+1/3</f>
        <v>128.33333333333334</v>
      </c>
      <c r="G21" s="6" t="s">
        <v>408</v>
      </c>
      <c r="H21" s="79"/>
      <c r="J21" s="2"/>
      <c r="K21" s="9"/>
      <c r="L21" s="4"/>
    </row>
    <row r="22" spans="3:12" x14ac:dyDescent="0.35">
      <c r="C22" s="23"/>
      <c r="E22" s="2" t="s">
        <v>49</v>
      </c>
      <c r="F22" s="9">
        <f>146+31/75</f>
        <v>146.41333333333333</v>
      </c>
      <c r="G22" s="6" t="s">
        <v>408</v>
      </c>
      <c r="H22" s="79"/>
      <c r="J22" s="2"/>
      <c r="K22" s="9"/>
      <c r="L22" s="4"/>
    </row>
    <row r="23" spans="3:12" x14ac:dyDescent="0.35">
      <c r="C23" s="23"/>
      <c r="E23" s="2" t="s">
        <v>61</v>
      </c>
      <c r="F23" s="9">
        <f>172+3/5</f>
        <v>172.6</v>
      </c>
      <c r="G23" s="6" t="s">
        <v>408</v>
      </c>
      <c r="H23" s="79"/>
      <c r="J23" s="2"/>
      <c r="K23" s="9"/>
      <c r="L23" s="4"/>
    </row>
    <row r="24" spans="3:12" x14ac:dyDescent="0.35">
      <c r="C24" s="23"/>
      <c r="E24" s="2"/>
      <c r="F24" s="9"/>
      <c r="G24" s="6"/>
      <c r="H24" s="79"/>
      <c r="J24" s="2"/>
      <c r="K24" s="9"/>
      <c r="L24" s="4"/>
    </row>
    <row r="25" spans="3:12" x14ac:dyDescent="0.35">
      <c r="C25" s="23"/>
      <c r="E25" s="2"/>
      <c r="F25" s="9"/>
      <c r="G25" s="6"/>
      <c r="H25" s="79"/>
      <c r="J25" s="2"/>
      <c r="K25" s="9"/>
      <c r="L25" s="4"/>
    </row>
    <row r="26" spans="3:12" x14ac:dyDescent="0.35">
      <c r="C26" s="23"/>
      <c r="E26" s="2"/>
      <c r="F26" s="9"/>
      <c r="G26" s="6"/>
      <c r="H26" s="79"/>
      <c r="J26" s="2"/>
      <c r="K26" s="9"/>
      <c r="L26" s="4"/>
    </row>
    <row r="27" spans="3:12" x14ac:dyDescent="0.35">
      <c r="C27" s="23"/>
      <c r="E27" s="2"/>
      <c r="F27" s="9"/>
      <c r="G27" s="6"/>
      <c r="H27" s="79"/>
      <c r="J27" s="2"/>
      <c r="K27" s="9"/>
      <c r="L27" s="4"/>
    </row>
    <row r="28" spans="3:12" x14ac:dyDescent="0.35">
      <c r="C28" s="23"/>
      <c r="E28" s="2"/>
      <c r="F28" s="9"/>
      <c r="G28" s="6"/>
      <c r="H28" s="79"/>
      <c r="J28" s="2"/>
      <c r="K28" s="9"/>
      <c r="L28" s="4"/>
    </row>
    <row r="29" spans="3:12" x14ac:dyDescent="0.35">
      <c r="C29" s="23"/>
      <c r="E29" s="2"/>
      <c r="F29" s="9"/>
      <c r="G29" s="6"/>
      <c r="H29" s="79"/>
      <c r="J29" s="2"/>
      <c r="K29" s="9"/>
      <c r="L29" s="4"/>
    </row>
    <row r="30" spans="3:12" x14ac:dyDescent="0.35">
      <c r="C30" s="23"/>
      <c r="E30" s="2"/>
      <c r="F30" s="9"/>
      <c r="G30" s="6"/>
      <c r="H30" s="79"/>
      <c r="J30" s="2"/>
      <c r="K30" s="9"/>
      <c r="L30" s="4"/>
    </row>
    <row r="31" spans="3:12" x14ac:dyDescent="0.35">
      <c r="C31" s="23"/>
      <c r="E31" s="2"/>
      <c r="F31" s="9"/>
      <c r="G31" s="6"/>
      <c r="H31" s="79"/>
      <c r="J31" s="2"/>
      <c r="K31" s="9"/>
      <c r="L31" s="2"/>
    </row>
    <row r="32" spans="3:12" x14ac:dyDescent="0.35">
      <c r="C32" s="23"/>
      <c r="E32" s="2"/>
      <c r="F32" s="9"/>
      <c r="G32" s="6"/>
      <c r="H32" s="79"/>
      <c r="J32" s="2"/>
      <c r="K32" s="9"/>
      <c r="L32" s="2"/>
    </row>
    <row r="33" spans="3:12" x14ac:dyDescent="0.35">
      <c r="C33" s="23"/>
      <c r="E33" s="2"/>
      <c r="F33" s="9"/>
      <c r="G33" s="6"/>
      <c r="H33" s="79"/>
      <c r="J33" s="2"/>
      <c r="K33" s="9"/>
      <c r="L33" s="2"/>
    </row>
    <row r="34" spans="3:12" x14ac:dyDescent="0.35">
      <c r="C34" s="23"/>
      <c r="E34" s="2"/>
      <c r="F34" s="9"/>
      <c r="G34" s="6"/>
      <c r="H34" s="79"/>
      <c r="J34" s="2"/>
      <c r="K34" s="9"/>
      <c r="L34" s="2"/>
    </row>
    <row r="35" spans="3:12" x14ac:dyDescent="0.35">
      <c r="C35" s="23"/>
      <c r="E35" s="2"/>
      <c r="F35" s="9"/>
      <c r="G35" s="6"/>
      <c r="H35" s="79"/>
      <c r="J35" s="2"/>
      <c r="K35" s="9"/>
      <c r="L35" s="2"/>
    </row>
    <row r="36" spans="3:12" x14ac:dyDescent="0.35">
      <c r="C36" s="23"/>
      <c r="E36" s="2"/>
      <c r="F36" s="9"/>
      <c r="G36" s="6"/>
      <c r="H36" s="79"/>
      <c r="J36" s="2"/>
      <c r="K36" s="9"/>
      <c r="L36" s="2"/>
    </row>
    <row r="37" spans="3:12" x14ac:dyDescent="0.35">
      <c r="C37" s="23"/>
      <c r="E37" s="2"/>
      <c r="F37" s="9"/>
      <c r="G37" s="6"/>
      <c r="H37" s="79"/>
      <c r="J37" s="2"/>
      <c r="K37" s="9"/>
      <c r="L37" s="2"/>
    </row>
    <row r="38" spans="3:12" x14ac:dyDescent="0.35">
      <c r="E38" s="2"/>
      <c r="F38" s="9"/>
      <c r="G38" s="6"/>
      <c r="H38" s="79"/>
      <c r="J38" s="2"/>
      <c r="K38" s="9"/>
      <c r="L38" s="2"/>
    </row>
    <row r="39" spans="3:12" x14ac:dyDescent="0.35">
      <c r="E39" s="2"/>
      <c r="F39" s="9"/>
      <c r="G39" s="6"/>
      <c r="H39" s="79"/>
      <c r="J39" s="2"/>
      <c r="K39" s="9"/>
      <c r="L39" s="2"/>
    </row>
    <row r="40" spans="3:12" x14ac:dyDescent="0.35">
      <c r="E40" s="2"/>
      <c r="F40" s="9"/>
      <c r="G40" s="6"/>
      <c r="H40" s="79"/>
      <c r="J40" s="2"/>
      <c r="K40" s="9"/>
      <c r="L40" s="2"/>
    </row>
    <row r="41" spans="3:12" x14ac:dyDescent="0.35">
      <c r="E41" s="2"/>
      <c r="F41" s="9"/>
      <c r="G41" s="6"/>
      <c r="H41" s="79"/>
      <c r="J41" s="2"/>
      <c r="K41" s="9"/>
      <c r="L41" s="2"/>
    </row>
    <row r="42" spans="3:12" x14ac:dyDescent="0.35">
      <c r="E42" s="2"/>
      <c r="F42" s="9"/>
      <c r="G42" s="6"/>
      <c r="H42" s="79"/>
      <c r="J42" s="2"/>
      <c r="K42" s="9"/>
      <c r="L42" s="2"/>
    </row>
    <row r="43" spans="3:12" x14ac:dyDescent="0.35">
      <c r="E43" s="2"/>
      <c r="F43" s="9"/>
      <c r="G43" s="6"/>
      <c r="H43" s="79"/>
      <c r="J43" s="2"/>
      <c r="K43" s="9"/>
      <c r="L43" s="2"/>
    </row>
    <row r="44" spans="3:12" x14ac:dyDescent="0.35">
      <c r="E44" s="2"/>
      <c r="F44" s="9"/>
      <c r="G44" s="6"/>
      <c r="H44" s="79"/>
      <c r="J44" s="2"/>
      <c r="K44" s="9"/>
      <c r="L44" s="2"/>
    </row>
    <row r="45" spans="3:12" ht="15" thickBot="1" x14ac:dyDescent="0.4">
      <c r="E45" s="3"/>
      <c r="F45" s="10"/>
      <c r="G45" s="7"/>
      <c r="H45" s="82"/>
      <c r="J45" s="3"/>
      <c r="K45" s="10"/>
      <c r="L45" s="3"/>
    </row>
  </sheetData>
  <sortState xmlns:xlrd2="http://schemas.microsoft.com/office/spreadsheetml/2017/richdata2" ref="E13:H23">
    <sortCondition ref="F13:F23"/>
  </sortState>
  <mergeCells count="2">
    <mergeCell ref="J11:L11"/>
    <mergeCell ref="E11:H1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07E90-6101-47F8-9701-BB9D283EFF37}">
  <dimension ref="B1:S73"/>
  <sheetViews>
    <sheetView topLeftCell="B3" zoomScaleNormal="100" workbookViewId="0">
      <selection activeCell="K34" sqref="K34"/>
    </sheetView>
  </sheetViews>
  <sheetFormatPr defaultRowHeight="14.5" x14ac:dyDescent="0.35"/>
  <cols>
    <col min="2" max="2" width="25.90625" bestFit="1" customWidth="1"/>
    <col min="3" max="3" width="23.08984375" customWidth="1"/>
    <col min="5" max="5" width="20.36328125" bestFit="1" customWidth="1"/>
    <col min="6" max="6" width="11.81640625" bestFit="1" customWidth="1"/>
    <col min="7" max="7" width="19.81640625" bestFit="1" customWidth="1"/>
    <col min="8" max="8" width="29.7265625" bestFit="1" customWidth="1"/>
    <col min="10" max="10" width="22.81640625" bestFit="1" customWidth="1"/>
    <col min="11" max="11" width="11.81640625" bestFit="1" customWidth="1"/>
    <col min="12" max="12" width="19.54296875" bestFit="1" customWidth="1"/>
    <col min="14" max="14" width="17.08984375" bestFit="1" customWidth="1"/>
    <col min="15" max="15" width="7.36328125" bestFit="1" customWidth="1"/>
    <col min="16" max="16" width="20.08984375" bestFit="1" customWidth="1"/>
    <col min="17" max="17" width="40.08984375" bestFit="1" customWidth="1"/>
    <col min="18" max="18" width="12.1796875" bestFit="1" customWidth="1"/>
    <col min="19" max="19" width="16.7265625" bestFit="1" customWidth="1"/>
  </cols>
  <sheetData>
    <row r="1" spans="2:19" ht="15" thickBot="1" x14ac:dyDescent="0.4"/>
    <row r="2" spans="2:19" x14ac:dyDescent="0.35">
      <c r="B2" s="20" t="s">
        <v>9</v>
      </c>
      <c r="C2" s="24" t="s">
        <v>442</v>
      </c>
    </row>
    <row r="3" spans="2:19" ht="87" x14ac:dyDescent="0.35">
      <c r="B3" s="27" t="s">
        <v>10</v>
      </c>
      <c r="C3" s="31" t="s">
        <v>476</v>
      </c>
    </row>
    <row r="4" spans="2:19" ht="29" customHeight="1" x14ac:dyDescent="0.35">
      <c r="B4" s="21" t="s">
        <v>11</v>
      </c>
      <c r="C4" s="37" t="s">
        <v>528</v>
      </c>
    </row>
    <row r="5" spans="2:19" x14ac:dyDescent="0.35">
      <c r="B5" s="21" t="s">
        <v>236</v>
      </c>
      <c r="C5" s="25" t="s">
        <v>488</v>
      </c>
    </row>
    <row r="6" spans="2:19" x14ac:dyDescent="0.35">
      <c r="B6" s="21" t="s">
        <v>237</v>
      </c>
      <c r="C6" s="25" t="s">
        <v>477</v>
      </c>
    </row>
    <row r="7" spans="2:19" x14ac:dyDescent="0.35">
      <c r="B7" s="21" t="s">
        <v>355</v>
      </c>
      <c r="C7" s="25" t="s">
        <v>489</v>
      </c>
    </row>
    <row r="8" spans="2:19" x14ac:dyDescent="0.35">
      <c r="B8" s="21" t="s">
        <v>443</v>
      </c>
      <c r="C8" s="25" t="s">
        <v>490</v>
      </c>
    </row>
    <row r="9" spans="2:19" x14ac:dyDescent="0.35">
      <c r="B9" s="21" t="s">
        <v>239</v>
      </c>
      <c r="C9" s="25" t="s">
        <v>491</v>
      </c>
    </row>
    <row r="10" spans="2:19" x14ac:dyDescent="0.35">
      <c r="B10" s="21" t="s">
        <v>240</v>
      </c>
      <c r="C10" s="98" t="s">
        <v>478</v>
      </c>
    </row>
    <row r="11" spans="2:19" x14ac:dyDescent="0.35">
      <c r="B11" s="99" t="s">
        <v>356</v>
      </c>
      <c r="C11" s="98" t="s">
        <v>489</v>
      </c>
    </row>
    <row r="12" spans="2:19" ht="15" thickBot="1" x14ac:dyDescent="0.4">
      <c r="B12" s="22" t="s">
        <v>444</v>
      </c>
      <c r="C12" s="26" t="s">
        <v>492</v>
      </c>
    </row>
    <row r="13" spans="2:19" ht="15" thickBot="1" x14ac:dyDescent="0.4">
      <c r="C13" s="23"/>
      <c r="E13" s="111" t="s">
        <v>15</v>
      </c>
      <c r="F13" s="112"/>
      <c r="G13" s="112"/>
      <c r="H13" s="141"/>
      <c r="J13" s="111" t="s">
        <v>16</v>
      </c>
      <c r="K13" s="112"/>
      <c r="L13" s="113"/>
      <c r="N13" s="134" t="s">
        <v>481</v>
      </c>
      <c r="O13" s="142"/>
      <c r="P13" s="142"/>
      <c r="Q13" s="142"/>
      <c r="R13" s="142"/>
      <c r="S13" s="103"/>
    </row>
    <row r="14" spans="2:19" ht="15" thickBot="1" x14ac:dyDescent="0.4">
      <c r="C14" s="23"/>
      <c r="E14" s="100" t="s">
        <v>0</v>
      </c>
      <c r="F14" s="15" t="s">
        <v>1</v>
      </c>
      <c r="G14" s="101" t="s">
        <v>2</v>
      </c>
      <c r="H14" s="54" t="s">
        <v>403</v>
      </c>
      <c r="J14" s="14" t="s">
        <v>0</v>
      </c>
      <c r="K14" s="12" t="s">
        <v>1</v>
      </c>
      <c r="L14" s="14" t="s">
        <v>24</v>
      </c>
      <c r="N14" s="14" t="s">
        <v>283</v>
      </c>
      <c r="O14" s="14" t="s">
        <v>1</v>
      </c>
      <c r="P14" s="14" t="s">
        <v>479</v>
      </c>
      <c r="Q14" s="14" t="s">
        <v>480</v>
      </c>
      <c r="R14" s="14" t="s">
        <v>284</v>
      </c>
      <c r="S14" s="14" t="s">
        <v>483</v>
      </c>
    </row>
    <row r="15" spans="2:19" x14ac:dyDescent="0.35">
      <c r="C15" s="23"/>
      <c r="E15" s="46" t="s">
        <v>359</v>
      </c>
      <c r="F15" s="43">
        <f>4+64/75</f>
        <v>4.8533333333333335</v>
      </c>
      <c r="G15" s="102" t="s">
        <v>251</v>
      </c>
      <c r="H15" s="19"/>
      <c r="J15" s="4" t="s">
        <v>447</v>
      </c>
      <c r="K15" s="8">
        <f>364/1215</f>
        <v>0.29958847736625516</v>
      </c>
      <c r="L15" s="4" t="s">
        <v>8</v>
      </c>
      <c r="N15" s="4" t="s">
        <v>323</v>
      </c>
      <c r="O15" s="4">
        <v>5</v>
      </c>
      <c r="P15" s="4" t="s">
        <v>346</v>
      </c>
      <c r="Q15" s="4" t="s">
        <v>482</v>
      </c>
      <c r="R15" s="4">
        <f>(384.6+96.1)/2</f>
        <v>240.35000000000002</v>
      </c>
      <c r="S15" s="4">
        <f>R15*O15</f>
        <v>1201.75</v>
      </c>
    </row>
    <row r="16" spans="2:19" x14ac:dyDescent="0.35">
      <c r="C16" s="23"/>
      <c r="E16" s="6" t="s">
        <v>384</v>
      </c>
      <c r="F16" s="11">
        <f>242+2/3</f>
        <v>242.66666666666666</v>
      </c>
      <c r="G16" s="95" t="s">
        <v>470</v>
      </c>
      <c r="H16" s="2" t="s">
        <v>346</v>
      </c>
      <c r="J16" s="4" t="s">
        <v>86</v>
      </c>
      <c r="K16" s="9">
        <f>398+14/75-K41</f>
        <v>256.18666666666667</v>
      </c>
      <c r="L16" s="4" t="s">
        <v>25</v>
      </c>
      <c r="N16" s="2" t="s">
        <v>425</v>
      </c>
      <c r="O16" s="2">
        <v>10</v>
      </c>
      <c r="P16" s="2" t="s">
        <v>346</v>
      </c>
      <c r="Q16" s="2" t="s">
        <v>447</v>
      </c>
      <c r="R16" s="2">
        <f>1922.8/2</f>
        <v>961.4</v>
      </c>
      <c r="S16" s="2">
        <f t="shared" ref="S16:S24" si="0">R16*O16</f>
        <v>9614</v>
      </c>
    </row>
    <row r="17" spans="3:19" x14ac:dyDescent="0.35">
      <c r="C17" s="23"/>
      <c r="E17" s="6" t="s">
        <v>19</v>
      </c>
      <c r="F17" s="11">
        <v>11648</v>
      </c>
      <c r="G17" s="95" t="s">
        <v>62</v>
      </c>
      <c r="H17" s="2" t="s">
        <v>446</v>
      </c>
      <c r="J17" s="4" t="s">
        <v>87</v>
      </c>
      <c r="K17" s="9">
        <f>537+28/125</f>
        <v>537.22400000000005</v>
      </c>
      <c r="L17" s="4" t="s">
        <v>25</v>
      </c>
      <c r="N17" s="2" t="s">
        <v>322</v>
      </c>
      <c r="O17" s="2">
        <v>5</v>
      </c>
      <c r="P17" s="2" t="s">
        <v>346</v>
      </c>
      <c r="Q17" s="2" t="s">
        <v>484</v>
      </c>
      <c r="R17" s="2">
        <f>(1442.1+480.7)/2</f>
        <v>961.4</v>
      </c>
      <c r="S17" s="2">
        <f t="shared" si="0"/>
        <v>4807</v>
      </c>
    </row>
    <row r="18" spans="3:19" x14ac:dyDescent="0.35">
      <c r="C18" s="23"/>
      <c r="E18" s="6" t="s">
        <v>19</v>
      </c>
      <c r="F18" s="11">
        <f>5752+8/81</f>
        <v>5752.0987654320988</v>
      </c>
      <c r="G18" s="95" t="s">
        <v>62</v>
      </c>
      <c r="H18" s="2" t="s">
        <v>445</v>
      </c>
      <c r="J18" s="4" t="s">
        <v>88</v>
      </c>
      <c r="K18" s="9">
        <v>5</v>
      </c>
      <c r="L18" s="4" t="s">
        <v>8</v>
      </c>
      <c r="N18" s="2" t="s">
        <v>323</v>
      </c>
      <c r="O18" s="2">
        <v>10</v>
      </c>
      <c r="P18" s="2" t="s">
        <v>346</v>
      </c>
      <c r="Q18" s="2" t="s">
        <v>485</v>
      </c>
      <c r="R18" s="2">
        <f>(61.5+15.4)/2</f>
        <v>38.450000000000003</v>
      </c>
      <c r="S18" s="2">
        <f t="shared" si="0"/>
        <v>384.5</v>
      </c>
    </row>
    <row r="19" spans="3:19" x14ac:dyDescent="0.35">
      <c r="C19" s="23"/>
      <c r="E19" s="6" t="s">
        <v>449</v>
      </c>
      <c r="F19" s="11">
        <v>760</v>
      </c>
      <c r="G19" s="95" t="s">
        <v>375</v>
      </c>
      <c r="H19" s="2" t="s">
        <v>452</v>
      </c>
      <c r="J19" s="4" t="s">
        <v>61</v>
      </c>
      <c r="K19" s="9">
        <f>8+1/3</f>
        <v>8.3333333333333339</v>
      </c>
      <c r="L19" s="4" t="s">
        <v>8</v>
      </c>
      <c r="N19" s="2" t="s">
        <v>323</v>
      </c>
      <c r="O19" s="2">
        <v>3</v>
      </c>
      <c r="P19" s="2" t="s">
        <v>486</v>
      </c>
      <c r="Q19" s="2" t="s">
        <v>449</v>
      </c>
      <c r="R19" s="2">
        <f>(288.1+72)/2</f>
        <v>180.05</v>
      </c>
      <c r="S19" s="2">
        <f t="shared" si="0"/>
        <v>540.15000000000009</v>
      </c>
    </row>
    <row r="20" spans="3:19" x14ac:dyDescent="0.35">
      <c r="C20" s="23"/>
      <c r="E20" s="6" t="s">
        <v>136</v>
      </c>
      <c r="F20" s="11">
        <f>280 + 8/9</f>
        <v>280.88888888888891</v>
      </c>
      <c r="G20" s="95" t="s">
        <v>382</v>
      </c>
      <c r="H20" s="2" t="s">
        <v>449</v>
      </c>
      <c r="J20" s="4" t="s">
        <v>34</v>
      </c>
      <c r="K20" s="9">
        <v>45</v>
      </c>
      <c r="L20" s="4" t="s">
        <v>8</v>
      </c>
      <c r="N20" s="2" t="s">
        <v>322</v>
      </c>
      <c r="O20" s="2">
        <v>14</v>
      </c>
      <c r="P20" s="2" t="s">
        <v>475</v>
      </c>
      <c r="Q20" s="2" t="s">
        <v>235</v>
      </c>
      <c r="R20" s="2">
        <f>(1319.6+439.9)/2</f>
        <v>879.75</v>
      </c>
      <c r="S20" s="2">
        <f t="shared" si="0"/>
        <v>12316.5</v>
      </c>
    </row>
    <row r="21" spans="3:19" x14ac:dyDescent="0.35">
      <c r="C21" s="23"/>
      <c r="E21" s="6" t="s">
        <v>384</v>
      </c>
      <c r="F21" s="11">
        <f>140+4/9</f>
        <v>140.44444444444446</v>
      </c>
      <c r="G21" s="95" t="s">
        <v>455</v>
      </c>
      <c r="H21" s="2" t="s">
        <v>449</v>
      </c>
      <c r="J21" s="4" t="s">
        <v>41</v>
      </c>
      <c r="K21" s="9">
        <v>45</v>
      </c>
      <c r="L21" s="4" t="s">
        <v>8</v>
      </c>
      <c r="N21" s="2" t="s">
        <v>322</v>
      </c>
      <c r="O21" s="2">
        <v>2</v>
      </c>
      <c r="P21" s="2" t="s">
        <v>475</v>
      </c>
      <c r="Q21" s="2" t="s">
        <v>319</v>
      </c>
      <c r="R21" s="2">
        <f>(479.9+160)/2</f>
        <v>319.95</v>
      </c>
      <c r="S21" s="2">
        <f t="shared" si="0"/>
        <v>639.9</v>
      </c>
    </row>
    <row r="22" spans="3:19" x14ac:dyDescent="0.35">
      <c r="C22" s="23"/>
      <c r="E22" s="6" t="s">
        <v>52</v>
      </c>
      <c r="F22" s="11">
        <v>600</v>
      </c>
      <c r="G22" s="95" t="s">
        <v>60</v>
      </c>
      <c r="H22" s="2" t="s">
        <v>453</v>
      </c>
      <c r="J22" s="2" t="s">
        <v>54</v>
      </c>
      <c r="K22" s="9">
        <f>745+71/1350-K42</f>
        <v>435.88592592592596</v>
      </c>
      <c r="L22" s="4" t="s">
        <v>25</v>
      </c>
      <c r="N22" s="2" t="s">
        <v>323</v>
      </c>
      <c r="O22" s="2">
        <v>5</v>
      </c>
      <c r="P22" s="2" t="s">
        <v>475</v>
      </c>
      <c r="Q22" s="2" t="s">
        <v>325</v>
      </c>
      <c r="R22" s="2">
        <f>(374.4+93.6)/2</f>
        <v>234</v>
      </c>
      <c r="S22" s="2">
        <f t="shared" si="0"/>
        <v>1170</v>
      </c>
    </row>
    <row r="23" spans="3:19" x14ac:dyDescent="0.35">
      <c r="C23" s="23"/>
      <c r="E23" s="6" t="s">
        <v>5</v>
      </c>
      <c r="F23" s="11">
        <f>34+2/3</f>
        <v>34.666666666666664</v>
      </c>
      <c r="G23" s="95" t="s">
        <v>106</v>
      </c>
      <c r="H23" s="2" t="s">
        <v>227</v>
      </c>
      <c r="J23" s="2" t="s">
        <v>54</v>
      </c>
      <c r="K23" s="9">
        <v>5</v>
      </c>
      <c r="L23" s="4" t="s">
        <v>8</v>
      </c>
      <c r="N23" s="2" t="s">
        <v>323</v>
      </c>
      <c r="O23" s="2">
        <v>2</v>
      </c>
      <c r="P23" s="2" t="s">
        <v>475</v>
      </c>
      <c r="Q23" s="2" t="s">
        <v>487</v>
      </c>
      <c r="R23" s="2">
        <f>(255.9+64)/2</f>
        <v>159.94999999999999</v>
      </c>
      <c r="S23" s="2">
        <f t="shared" si="0"/>
        <v>319.89999999999998</v>
      </c>
    </row>
    <row r="24" spans="3:19" ht="15" thickBot="1" x14ac:dyDescent="0.4">
      <c r="C24" s="23"/>
      <c r="E24" s="6" t="s">
        <v>19</v>
      </c>
      <c r="F24" s="11">
        <f>597+13/15</f>
        <v>597.86666666666667</v>
      </c>
      <c r="G24" s="95" t="s">
        <v>62</v>
      </c>
      <c r="H24" s="2" t="s">
        <v>227</v>
      </c>
      <c r="J24" s="2" t="s">
        <v>136</v>
      </c>
      <c r="K24" s="9">
        <f>996+25/36-K37-K39-K43</f>
        <v>32.927777777777806</v>
      </c>
      <c r="L24" s="4" t="s">
        <v>25</v>
      </c>
      <c r="N24" s="2" t="s">
        <v>322</v>
      </c>
      <c r="O24" s="3">
        <v>1</v>
      </c>
      <c r="P24" s="3" t="s">
        <v>475</v>
      </c>
      <c r="Q24" s="3" t="s">
        <v>469</v>
      </c>
      <c r="R24" s="3">
        <f>(1403.8+467.9)/2</f>
        <v>935.84999999999991</v>
      </c>
      <c r="S24" s="3">
        <f t="shared" si="0"/>
        <v>935.84999999999991</v>
      </c>
    </row>
    <row r="25" spans="3:19" ht="15" thickBot="1" x14ac:dyDescent="0.4">
      <c r="C25" s="23"/>
      <c r="E25" s="6" t="s">
        <v>34</v>
      </c>
      <c r="F25" s="11">
        <f>299+1/15</f>
        <v>299.06666666666666</v>
      </c>
      <c r="G25" s="95" t="s">
        <v>60</v>
      </c>
      <c r="H25" s="2" t="s">
        <v>227</v>
      </c>
      <c r="J25" s="2" t="s">
        <v>457</v>
      </c>
      <c r="K25" s="9">
        <v>5</v>
      </c>
      <c r="L25" s="4" t="s">
        <v>8</v>
      </c>
      <c r="N25" s="18" t="s">
        <v>268</v>
      </c>
      <c r="O25" s="143">
        <f>SUM(S15:S24)</f>
        <v>31929.550000000003</v>
      </c>
      <c r="P25" s="144"/>
      <c r="Q25" s="144"/>
      <c r="R25" s="144"/>
      <c r="S25" s="145"/>
    </row>
    <row r="26" spans="3:19" x14ac:dyDescent="0.35">
      <c r="C26" s="23"/>
      <c r="E26" s="6" t="s">
        <v>19</v>
      </c>
      <c r="F26" s="11">
        <f>333+1/3</f>
        <v>333.33333333333331</v>
      </c>
      <c r="G26" s="95" t="s">
        <v>62</v>
      </c>
      <c r="H26" s="2" t="s">
        <v>448</v>
      </c>
      <c r="J26" s="2" t="s">
        <v>131</v>
      </c>
      <c r="K26" s="9">
        <v>5</v>
      </c>
      <c r="L26" s="4" t="s">
        <v>8</v>
      </c>
    </row>
    <row r="27" spans="3:19" x14ac:dyDescent="0.35">
      <c r="C27" s="23"/>
      <c r="E27" s="6" t="s">
        <v>88</v>
      </c>
      <c r="F27" s="11">
        <v>1800</v>
      </c>
      <c r="G27" s="95" t="s">
        <v>60</v>
      </c>
      <c r="H27" s="2" t="s">
        <v>448</v>
      </c>
      <c r="J27" s="2" t="s">
        <v>18</v>
      </c>
      <c r="K27" s="9">
        <v>3.75</v>
      </c>
      <c r="L27" s="4" t="s">
        <v>8</v>
      </c>
    </row>
    <row r="28" spans="3:19" x14ac:dyDescent="0.35">
      <c r="C28" s="23"/>
      <c r="E28" s="6" t="s">
        <v>61</v>
      </c>
      <c r="F28" s="11">
        <v>2000</v>
      </c>
      <c r="G28" s="95" t="s">
        <v>60</v>
      </c>
      <c r="H28" s="2" t="s">
        <v>448</v>
      </c>
      <c r="J28" s="2" t="s">
        <v>18</v>
      </c>
      <c r="K28" s="9">
        <v>590</v>
      </c>
      <c r="L28" s="4" t="s">
        <v>505</v>
      </c>
    </row>
    <row r="29" spans="3:19" x14ac:dyDescent="0.35">
      <c r="C29" s="23"/>
      <c r="E29" s="6" t="s">
        <v>34</v>
      </c>
      <c r="F29" s="11">
        <f>367+10/13</f>
        <v>367.76923076923077</v>
      </c>
      <c r="G29" s="95" t="s">
        <v>60</v>
      </c>
      <c r="H29" s="2" t="s">
        <v>456</v>
      </c>
      <c r="J29" s="2" t="s">
        <v>458</v>
      </c>
      <c r="K29" s="9">
        <v>2.5</v>
      </c>
      <c r="L29" s="4" t="s">
        <v>8</v>
      </c>
    </row>
    <row r="30" spans="3:19" x14ac:dyDescent="0.35">
      <c r="C30" s="23"/>
      <c r="E30" s="6" t="s">
        <v>19</v>
      </c>
      <c r="F30" s="11">
        <f>1411+21/52-712-3.75</f>
        <v>695.65384615384619</v>
      </c>
      <c r="G30" s="95" t="s">
        <v>62</v>
      </c>
      <c r="H30" s="2" t="s">
        <v>456</v>
      </c>
      <c r="J30" s="2" t="s">
        <v>49</v>
      </c>
      <c r="K30" s="9">
        <v>30</v>
      </c>
      <c r="L30" s="4" t="s">
        <v>8</v>
      </c>
    </row>
    <row r="31" spans="3:19" x14ac:dyDescent="0.35">
      <c r="C31" s="23"/>
      <c r="E31" s="6" t="s">
        <v>17</v>
      </c>
      <c r="F31" s="11">
        <v>200</v>
      </c>
      <c r="G31" s="95" t="s">
        <v>191</v>
      </c>
      <c r="H31" s="2" t="s">
        <v>456</v>
      </c>
      <c r="J31" s="2" t="s">
        <v>163</v>
      </c>
      <c r="K31" s="9">
        <f>1650-158-5/6-K40</f>
        <v>1344.7666666666667</v>
      </c>
      <c r="L31" s="4" t="s">
        <v>25</v>
      </c>
    </row>
    <row r="32" spans="3:19" x14ac:dyDescent="0.35">
      <c r="C32" s="23"/>
      <c r="E32" s="6" t="s">
        <v>17</v>
      </c>
      <c r="F32" s="11">
        <v>1200</v>
      </c>
      <c r="G32" s="95" t="s">
        <v>60</v>
      </c>
      <c r="H32" s="2" t="s">
        <v>456</v>
      </c>
      <c r="J32" s="2" t="s">
        <v>61</v>
      </c>
      <c r="K32" s="9">
        <v>194</v>
      </c>
      <c r="L32" s="4" t="s">
        <v>25</v>
      </c>
    </row>
    <row r="33" spans="3:12" x14ac:dyDescent="0.35">
      <c r="C33" s="23"/>
      <c r="E33" s="6" t="s">
        <v>18</v>
      </c>
      <c r="F33" s="11">
        <v>600</v>
      </c>
      <c r="G33" s="95" t="s">
        <v>60</v>
      </c>
      <c r="H33" s="2" t="s">
        <v>456</v>
      </c>
      <c r="J33" s="2" t="s">
        <v>468</v>
      </c>
      <c r="K33" s="9">
        <f>15-K44</f>
        <v>1</v>
      </c>
      <c r="L33" s="2" t="s">
        <v>8</v>
      </c>
    </row>
    <row r="34" spans="3:12" x14ac:dyDescent="0.35">
      <c r="C34" s="23"/>
      <c r="E34" s="6" t="s">
        <v>131</v>
      </c>
      <c r="F34" s="11">
        <v>1200</v>
      </c>
      <c r="G34" s="95" t="s">
        <v>60</v>
      </c>
      <c r="H34" s="2" t="s">
        <v>456</v>
      </c>
      <c r="J34" s="2" t="s">
        <v>471</v>
      </c>
      <c r="K34" s="9">
        <f>14+2/3</f>
        <v>14.666666666666666</v>
      </c>
      <c r="L34" s="2" t="s">
        <v>8</v>
      </c>
    </row>
    <row r="35" spans="3:12" x14ac:dyDescent="0.35">
      <c r="C35" s="23"/>
      <c r="E35" s="6" t="s">
        <v>5</v>
      </c>
      <c r="F35" s="11">
        <v>2.5</v>
      </c>
      <c r="G35" s="95" t="s">
        <v>106</v>
      </c>
      <c r="H35" s="2" t="s">
        <v>456</v>
      </c>
      <c r="J35" s="2" t="s">
        <v>17</v>
      </c>
      <c r="K35" s="9">
        <v>5</v>
      </c>
      <c r="L35" s="2" t="s">
        <v>8</v>
      </c>
    </row>
    <row r="36" spans="3:12" x14ac:dyDescent="0.35">
      <c r="C36" s="23"/>
      <c r="E36" s="6" t="s">
        <v>49</v>
      </c>
      <c r="F36" s="11">
        <f>226+13834/50625</f>
        <v>226.27326419753086</v>
      </c>
      <c r="G36" s="95" t="s">
        <v>60</v>
      </c>
      <c r="H36" s="2" t="s">
        <v>453</v>
      </c>
      <c r="J36" s="2" t="s">
        <v>43</v>
      </c>
      <c r="K36" s="9">
        <v>5</v>
      </c>
      <c r="L36" s="2" t="s">
        <v>8</v>
      </c>
    </row>
    <row r="37" spans="3:12" x14ac:dyDescent="0.35">
      <c r="C37" s="23"/>
      <c r="E37" s="6" t="s">
        <v>34</v>
      </c>
      <c r="F37" s="11">
        <f>30+718/1755</f>
        <v>30.40911680911681</v>
      </c>
      <c r="G37" s="95" t="s">
        <v>60</v>
      </c>
      <c r="H37" s="2" t="s">
        <v>463</v>
      </c>
      <c r="J37" s="2" t="s">
        <v>136</v>
      </c>
      <c r="K37" s="9">
        <v>447.5</v>
      </c>
      <c r="L37" s="2" t="s">
        <v>505</v>
      </c>
    </row>
    <row r="38" spans="3:12" x14ac:dyDescent="0.35">
      <c r="C38" s="23"/>
      <c r="E38" s="6" t="s">
        <v>19</v>
      </c>
      <c r="F38" s="11">
        <f>17+661/1775+66+3122/6075+385+98/225</f>
        <v>469.32185938677333</v>
      </c>
      <c r="G38" s="95" t="s">
        <v>62</v>
      </c>
      <c r="H38" s="2" t="s">
        <v>463</v>
      </c>
      <c r="J38" s="2" t="s">
        <v>163</v>
      </c>
      <c r="K38" s="9">
        <v>442.5</v>
      </c>
      <c r="L38" s="2" t="s">
        <v>505</v>
      </c>
    </row>
    <row r="39" spans="3:12" x14ac:dyDescent="0.35">
      <c r="C39" s="23"/>
      <c r="E39" s="6" t="s">
        <v>61</v>
      </c>
      <c r="F39" s="11">
        <f>462+392/1125</f>
        <v>462.34844444444445</v>
      </c>
      <c r="G39" s="95" t="s">
        <v>60</v>
      </c>
      <c r="H39" s="2" t="s">
        <v>463</v>
      </c>
      <c r="J39" s="2" t="s">
        <v>136</v>
      </c>
      <c r="K39" s="9">
        <f>356+4/15</f>
        <v>356.26666666666665</v>
      </c>
      <c r="L39" s="2" t="s">
        <v>514</v>
      </c>
    </row>
    <row r="40" spans="3:12" x14ac:dyDescent="0.35">
      <c r="C40" s="23"/>
      <c r="E40" s="6" t="s">
        <v>163</v>
      </c>
      <c r="F40" s="11">
        <v>1650</v>
      </c>
      <c r="G40" s="95" t="s">
        <v>464</v>
      </c>
      <c r="H40" s="2" t="s">
        <v>463</v>
      </c>
      <c r="J40" s="2" t="s">
        <v>163</v>
      </c>
      <c r="K40" s="9">
        <v>146.4</v>
      </c>
      <c r="L40" s="2" t="s">
        <v>514</v>
      </c>
    </row>
    <row r="41" spans="3:12" x14ac:dyDescent="0.35">
      <c r="C41" s="23"/>
      <c r="E41" s="6" t="s">
        <v>19</v>
      </c>
      <c r="F41" s="11">
        <f>64+628/1875+57+1/15+93+221/375</f>
        <v>214.99093333333334</v>
      </c>
      <c r="G41" s="95" t="s">
        <v>62</v>
      </c>
      <c r="H41" s="2" t="s">
        <v>465</v>
      </c>
      <c r="J41" s="2" t="s">
        <v>86</v>
      </c>
      <c r="K41" s="9">
        <v>142</v>
      </c>
      <c r="L41" s="2" t="s">
        <v>514</v>
      </c>
    </row>
    <row r="42" spans="3:12" x14ac:dyDescent="0.35">
      <c r="E42" s="6" t="s">
        <v>152</v>
      </c>
      <c r="F42" s="11">
        <v>7</v>
      </c>
      <c r="G42" s="95" t="s">
        <v>146</v>
      </c>
      <c r="H42" s="2" t="s">
        <v>465</v>
      </c>
      <c r="J42" s="2" t="s">
        <v>54</v>
      </c>
      <c r="K42" s="9">
        <f>309+1/6</f>
        <v>309.16666666666669</v>
      </c>
      <c r="L42" s="2" t="s">
        <v>514</v>
      </c>
    </row>
    <row r="43" spans="3:12" x14ac:dyDescent="0.35">
      <c r="E43" s="6" t="s">
        <v>467</v>
      </c>
      <c r="F43" s="11">
        <f>114+2/15</f>
        <v>114.13333333333334</v>
      </c>
      <c r="G43" s="95" t="s">
        <v>130</v>
      </c>
      <c r="H43" s="2" t="s">
        <v>465</v>
      </c>
      <c r="J43" s="2" t="s">
        <v>136</v>
      </c>
      <c r="K43" s="9">
        <v>160</v>
      </c>
      <c r="L43" s="2" t="s">
        <v>514</v>
      </c>
    </row>
    <row r="44" spans="3:12" x14ac:dyDescent="0.35">
      <c r="E44" s="6" t="s">
        <v>61</v>
      </c>
      <c r="F44" s="11">
        <f>300+600+1200</f>
        <v>2100</v>
      </c>
      <c r="G44" s="95" t="s">
        <v>60</v>
      </c>
      <c r="H44" s="2" t="s">
        <v>475</v>
      </c>
      <c r="J44" s="2" t="s">
        <v>468</v>
      </c>
      <c r="K44" s="9">
        <v>14</v>
      </c>
      <c r="L44" s="2" t="s">
        <v>514</v>
      </c>
    </row>
    <row r="45" spans="3:12" x14ac:dyDescent="0.35">
      <c r="E45" s="6" t="s">
        <v>49</v>
      </c>
      <c r="F45" s="11">
        <v>3812</v>
      </c>
      <c r="G45" s="95" t="s">
        <v>60</v>
      </c>
      <c r="H45" s="2" t="s">
        <v>475</v>
      </c>
      <c r="J45" s="2"/>
      <c r="K45" s="9"/>
      <c r="L45" s="2"/>
    </row>
    <row r="46" spans="3:12" x14ac:dyDescent="0.35">
      <c r="E46" s="6" t="s">
        <v>34</v>
      </c>
      <c r="F46" s="11">
        <f>3812+513+2/13</f>
        <v>4325.1538461538457</v>
      </c>
      <c r="G46" s="95" t="s">
        <v>60</v>
      </c>
      <c r="H46" s="2" t="s">
        <v>475</v>
      </c>
      <c r="J46" s="2"/>
      <c r="K46" s="9"/>
      <c r="L46" s="2"/>
    </row>
    <row r="47" spans="3:12" x14ac:dyDescent="0.35">
      <c r="E47" s="6" t="s">
        <v>19</v>
      </c>
      <c r="F47" s="11">
        <f>293+3/13+1588+1/3</f>
        <v>1881.5641025641025</v>
      </c>
      <c r="G47" s="95" t="s">
        <v>62</v>
      </c>
      <c r="H47" s="2" t="s">
        <v>475</v>
      </c>
      <c r="J47" s="2"/>
      <c r="K47" s="9"/>
      <c r="L47" s="2"/>
    </row>
    <row r="48" spans="3:12" x14ac:dyDescent="0.35">
      <c r="E48" s="6" t="s">
        <v>469</v>
      </c>
      <c r="F48" s="11">
        <v>70</v>
      </c>
      <c r="G48" s="95" t="s">
        <v>470</v>
      </c>
      <c r="H48" s="2" t="s">
        <v>475</v>
      </c>
      <c r="J48" s="2"/>
      <c r="K48" s="9"/>
      <c r="L48" s="2"/>
    </row>
    <row r="49" spans="5:13" ht="15" thickBot="1" x14ac:dyDescent="0.4">
      <c r="E49" s="6" t="s">
        <v>20</v>
      </c>
      <c r="F49" s="11">
        <v>300</v>
      </c>
      <c r="G49" s="95" t="s">
        <v>23</v>
      </c>
      <c r="H49" s="2" t="s">
        <v>475</v>
      </c>
      <c r="J49" s="3"/>
      <c r="K49" s="10"/>
      <c r="L49" s="3"/>
    </row>
    <row r="50" spans="5:13" x14ac:dyDescent="0.35">
      <c r="E50" s="6" t="s">
        <v>384</v>
      </c>
      <c r="F50" s="2">
        <f>71+1/3</f>
        <v>71.333333333333329</v>
      </c>
      <c r="G50" s="95" t="s">
        <v>470</v>
      </c>
      <c r="H50" s="2" t="s">
        <v>475</v>
      </c>
    </row>
    <row r="51" spans="5:13" ht="15" thickBot="1" x14ac:dyDescent="0.4">
      <c r="E51" s="93"/>
      <c r="F51" s="66"/>
      <c r="G51" s="96"/>
      <c r="H51" s="66"/>
    </row>
    <row r="52" spans="5:13" ht="15" thickBot="1" x14ac:dyDescent="0.4">
      <c r="E52" s="128" t="s">
        <v>472</v>
      </c>
      <c r="F52" s="129"/>
      <c r="G52" s="129"/>
      <c r="H52" s="130"/>
      <c r="J52" s="128" t="s">
        <v>472</v>
      </c>
      <c r="K52" s="129"/>
      <c r="L52" s="130"/>
      <c r="M52" s="13"/>
    </row>
    <row r="53" spans="5:13" ht="15" thickBot="1" x14ac:dyDescent="0.4">
      <c r="E53" s="14" t="s">
        <v>0</v>
      </c>
      <c r="F53" s="12" t="s">
        <v>1</v>
      </c>
      <c r="G53" s="47" t="s">
        <v>2</v>
      </c>
      <c r="H53" s="52" t="s">
        <v>403</v>
      </c>
      <c r="J53" s="47" t="s">
        <v>0</v>
      </c>
      <c r="K53" s="14" t="s">
        <v>1</v>
      </c>
      <c r="L53" s="53" t="s">
        <v>403</v>
      </c>
    </row>
    <row r="54" spans="5:13" x14ac:dyDescent="0.35">
      <c r="E54" s="4" t="s">
        <v>359</v>
      </c>
      <c r="F54" s="4">
        <f>4+64/75</f>
        <v>4.8533333333333335</v>
      </c>
      <c r="G54" s="4" t="s">
        <v>251</v>
      </c>
      <c r="H54" s="4"/>
      <c r="J54" s="5" t="s">
        <v>447</v>
      </c>
      <c r="K54" s="38">
        <f>364/1215</f>
        <v>0.29958847736625516</v>
      </c>
      <c r="L54" s="41"/>
    </row>
    <row r="55" spans="5:13" x14ac:dyDescent="0.35">
      <c r="E55" s="2" t="s">
        <v>152</v>
      </c>
      <c r="F55" s="2">
        <v>7</v>
      </c>
      <c r="G55" s="2" t="s">
        <v>146</v>
      </c>
      <c r="H55" s="2"/>
      <c r="J55" s="6" t="s">
        <v>458</v>
      </c>
      <c r="K55" s="11">
        <v>2.5</v>
      </c>
      <c r="L55" s="40"/>
    </row>
    <row r="56" spans="5:13" x14ac:dyDescent="0.35">
      <c r="E56" s="2" t="s">
        <v>5</v>
      </c>
      <c r="F56" s="2">
        <f>$F$35+$F$23</f>
        <v>37.166666666666664</v>
      </c>
      <c r="G56" s="2" t="s">
        <v>106</v>
      </c>
      <c r="H56" s="2"/>
      <c r="J56" s="6" t="s">
        <v>88</v>
      </c>
      <c r="K56" s="11">
        <v>5</v>
      </c>
      <c r="L56" s="40"/>
    </row>
    <row r="57" spans="5:13" x14ac:dyDescent="0.35">
      <c r="E57" s="2" t="s">
        <v>469</v>
      </c>
      <c r="F57" s="2">
        <v>70</v>
      </c>
      <c r="G57" s="2" t="s">
        <v>470</v>
      </c>
      <c r="H57" s="2"/>
      <c r="J57" s="6" t="s">
        <v>457</v>
      </c>
      <c r="K57" s="11">
        <v>5</v>
      </c>
      <c r="L57" s="40"/>
    </row>
    <row r="58" spans="5:13" x14ac:dyDescent="0.35">
      <c r="E58" s="2" t="s">
        <v>467</v>
      </c>
      <c r="F58" s="11">
        <f>114+2/15</f>
        <v>114.13333333333334</v>
      </c>
      <c r="G58" s="2" t="s">
        <v>130</v>
      </c>
      <c r="H58" s="2"/>
      <c r="J58" s="6" t="s">
        <v>131</v>
      </c>
      <c r="K58" s="11">
        <v>5</v>
      </c>
      <c r="L58" s="40"/>
    </row>
    <row r="59" spans="5:13" x14ac:dyDescent="0.35">
      <c r="E59" s="2" t="s">
        <v>136</v>
      </c>
      <c r="F59" s="11">
        <f>280 + 8/9</f>
        <v>280.88888888888891</v>
      </c>
      <c r="G59" s="2" t="s">
        <v>382</v>
      </c>
      <c r="H59" s="2"/>
      <c r="J59" s="6" t="s">
        <v>17</v>
      </c>
      <c r="K59" s="11">
        <v>5</v>
      </c>
      <c r="L59" s="40"/>
    </row>
    <row r="60" spans="5:13" x14ac:dyDescent="0.35">
      <c r="E60" s="2" t="s">
        <v>20</v>
      </c>
      <c r="F60" s="2">
        <v>300</v>
      </c>
      <c r="G60" s="2" t="s">
        <v>23</v>
      </c>
      <c r="H60" s="2"/>
      <c r="J60" s="6" t="s">
        <v>43</v>
      </c>
      <c r="K60" s="11">
        <v>5</v>
      </c>
      <c r="L60" s="40"/>
    </row>
    <row r="61" spans="5:13" x14ac:dyDescent="0.35">
      <c r="E61" s="2" t="s">
        <v>384</v>
      </c>
      <c r="F61" s="2">
        <f>$F$50+$F$21+$F$16</f>
        <v>454.44444444444446</v>
      </c>
      <c r="G61" s="2" t="s">
        <v>455</v>
      </c>
      <c r="H61" s="2"/>
      <c r="J61" s="6" t="s">
        <v>471</v>
      </c>
      <c r="K61" s="11">
        <f>14+2/3</f>
        <v>14.666666666666666</v>
      </c>
      <c r="L61" s="40"/>
    </row>
    <row r="62" spans="5:13" x14ac:dyDescent="0.35">
      <c r="E62" s="2" t="s">
        <v>52</v>
      </c>
      <c r="F62" s="2">
        <v>600</v>
      </c>
      <c r="G62" s="2" t="s">
        <v>60</v>
      </c>
      <c r="H62" s="2"/>
      <c r="J62" s="6" t="s">
        <v>468</v>
      </c>
      <c r="K62" s="11">
        <v>15</v>
      </c>
      <c r="L62" s="40"/>
    </row>
    <row r="63" spans="5:13" x14ac:dyDescent="0.35">
      <c r="E63" s="2" t="s">
        <v>18</v>
      </c>
      <c r="F63" s="2">
        <v>600</v>
      </c>
      <c r="G63" s="2" t="s">
        <v>60</v>
      </c>
      <c r="H63" s="2"/>
      <c r="J63" s="6" t="s">
        <v>49</v>
      </c>
      <c r="K63" s="11">
        <v>30</v>
      </c>
      <c r="L63" s="40"/>
    </row>
    <row r="64" spans="5:13" x14ac:dyDescent="0.35">
      <c r="E64" s="2" t="s">
        <v>449</v>
      </c>
      <c r="F64" s="2">
        <v>760</v>
      </c>
      <c r="G64" s="2" t="s">
        <v>375</v>
      </c>
      <c r="H64" s="2"/>
      <c r="J64" s="6" t="s">
        <v>34</v>
      </c>
      <c r="K64" s="11">
        <v>45</v>
      </c>
      <c r="L64" s="40"/>
    </row>
    <row r="65" spans="5:12" x14ac:dyDescent="0.35">
      <c r="E65" s="2" t="s">
        <v>131</v>
      </c>
      <c r="F65" s="2">
        <v>1200</v>
      </c>
      <c r="G65" s="2" t="s">
        <v>60</v>
      </c>
      <c r="H65" s="2"/>
      <c r="J65" s="6" t="s">
        <v>41</v>
      </c>
      <c r="K65" s="11">
        <v>45</v>
      </c>
      <c r="L65" s="40"/>
    </row>
    <row r="66" spans="5:12" x14ac:dyDescent="0.35">
      <c r="E66" s="2" t="s">
        <v>17</v>
      </c>
      <c r="F66" s="2">
        <v>1400</v>
      </c>
      <c r="G66" s="2" t="s">
        <v>60</v>
      </c>
      <c r="H66" s="2"/>
      <c r="J66" s="6" t="s">
        <v>61</v>
      </c>
      <c r="K66" s="11">
        <f>$K$32+$K$19</f>
        <v>202.33333333333334</v>
      </c>
      <c r="L66" s="40"/>
    </row>
    <row r="67" spans="5:12" x14ac:dyDescent="0.35">
      <c r="E67" s="2" t="s">
        <v>163</v>
      </c>
      <c r="F67" s="2">
        <v>1650</v>
      </c>
      <c r="G67" s="2" t="s">
        <v>464</v>
      </c>
      <c r="H67" s="2"/>
      <c r="J67" s="6" t="s">
        <v>86</v>
      </c>
      <c r="K67" s="11">
        <f>398+14/75</f>
        <v>398.18666666666667</v>
      </c>
      <c r="L67" s="40"/>
    </row>
    <row r="68" spans="5:12" x14ac:dyDescent="0.35">
      <c r="E68" s="2" t="s">
        <v>473</v>
      </c>
      <c r="F68" s="2">
        <v>1800</v>
      </c>
      <c r="G68" s="2" t="s">
        <v>60</v>
      </c>
      <c r="H68" s="2"/>
      <c r="J68" s="6" t="s">
        <v>87</v>
      </c>
      <c r="K68" s="11">
        <f>537+28/125</f>
        <v>537.22400000000005</v>
      </c>
      <c r="L68" s="40"/>
    </row>
    <row r="69" spans="5:12" x14ac:dyDescent="0.35">
      <c r="E69" s="2" t="s">
        <v>49</v>
      </c>
      <c r="F69" s="2">
        <f>$F$45+$F$36</f>
        <v>4038.2732641975308</v>
      </c>
      <c r="G69" s="2" t="s">
        <v>474</v>
      </c>
      <c r="H69" s="2"/>
      <c r="J69" s="6" t="s">
        <v>18</v>
      </c>
      <c r="K69" s="11">
        <v>593.75</v>
      </c>
      <c r="L69" s="40"/>
    </row>
    <row r="70" spans="5:12" x14ac:dyDescent="0.35">
      <c r="E70" s="2" t="s">
        <v>61</v>
      </c>
      <c r="F70" s="2">
        <f>$F$39+$F$28+$F$44</f>
        <v>4562.3484444444439</v>
      </c>
      <c r="G70" s="2" t="s">
        <v>60</v>
      </c>
      <c r="H70" s="2"/>
      <c r="J70" s="6" t="s">
        <v>54</v>
      </c>
      <c r="K70" s="11">
        <f>$K$22+$K$23</f>
        <v>440.88592592592596</v>
      </c>
      <c r="L70" s="40"/>
    </row>
    <row r="71" spans="5:12" x14ac:dyDescent="0.35">
      <c r="E71" s="2" t="s">
        <v>34</v>
      </c>
      <c r="F71" s="2">
        <f>$F$46+$F$37+$F$29+$F$25</f>
        <v>5022.3988603988601</v>
      </c>
      <c r="G71" s="2" t="s">
        <v>60</v>
      </c>
      <c r="H71" s="2"/>
      <c r="J71" s="2" t="s">
        <v>136</v>
      </c>
      <c r="K71" s="9">
        <f>996+25/36</f>
        <v>996.69444444444446</v>
      </c>
      <c r="L71" s="2"/>
    </row>
    <row r="72" spans="5:12" ht="15" thickBot="1" x14ac:dyDescent="0.4">
      <c r="E72" s="3" t="s">
        <v>19</v>
      </c>
      <c r="F72" s="3">
        <f>$F$17+$F$18+$F$24+$F$26+$F$30+$F$38+$F$41+$F$47</f>
        <v>21592.829506870155</v>
      </c>
      <c r="G72" s="3" t="s">
        <v>62</v>
      </c>
      <c r="H72" s="3"/>
      <c r="J72" s="2" t="s">
        <v>163</v>
      </c>
      <c r="K72" s="9">
        <f>1650-158-5/6</f>
        <v>1491.1666666666667</v>
      </c>
      <c r="L72" s="2"/>
    </row>
    <row r="73" spans="5:12" x14ac:dyDescent="0.35">
      <c r="K73" s="1"/>
    </row>
  </sheetData>
  <sortState xmlns:xlrd2="http://schemas.microsoft.com/office/spreadsheetml/2017/richdata2" ref="J54:L72">
    <sortCondition ref="K54:K72"/>
  </sortState>
  <mergeCells count="6">
    <mergeCell ref="N13:R13"/>
    <mergeCell ref="O25:S25"/>
    <mergeCell ref="E13:H13"/>
    <mergeCell ref="J13:L13"/>
    <mergeCell ref="E52:H52"/>
    <mergeCell ref="J52:L52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EF637-2B1F-4BC8-A0FA-F77EC5044F15}">
  <dimension ref="B1:R45"/>
  <sheetViews>
    <sheetView topLeftCell="G1" zoomScale="85" zoomScaleNormal="85" workbookViewId="0">
      <selection activeCell="P20" sqref="P20"/>
    </sheetView>
  </sheetViews>
  <sheetFormatPr defaultRowHeight="14.5" x14ac:dyDescent="0.35"/>
  <cols>
    <col min="2" max="2" width="25.90625" bestFit="1" customWidth="1"/>
    <col min="3" max="3" width="22.81640625" customWidth="1"/>
    <col min="5" max="5" width="14.1796875" bestFit="1" customWidth="1"/>
    <col min="6" max="6" width="7.36328125" bestFit="1" customWidth="1"/>
    <col min="7" max="7" width="15.1796875" bestFit="1" customWidth="1"/>
    <col min="8" max="8" width="10" bestFit="1" customWidth="1"/>
    <col min="10" max="10" width="20.36328125" bestFit="1" customWidth="1"/>
    <col min="11" max="11" width="11.81640625" bestFit="1" customWidth="1"/>
    <col min="12" max="12" width="18.453125" bestFit="1" customWidth="1"/>
    <col min="14" max="14" width="17.08984375" bestFit="1" customWidth="1"/>
    <col min="15" max="15" width="7.6328125" bestFit="1" customWidth="1"/>
    <col min="16" max="16" width="12.1796875" bestFit="1" customWidth="1"/>
    <col min="17" max="17" width="7.08984375" bestFit="1" customWidth="1"/>
    <col min="18" max="18" width="40.90625" bestFit="1" customWidth="1"/>
  </cols>
  <sheetData>
    <row r="1" spans="2:18" ht="15" thickBot="1" x14ac:dyDescent="0.4"/>
    <row r="2" spans="2:18" x14ac:dyDescent="0.35">
      <c r="B2" s="20" t="s">
        <v>9</v>
      </c>
      <c r="C2" s="24" t="s">
        <v>414</v>
      </c>
    </row>
    <row r="3" spans="2:18" ht="29" x14ac:dyDescent="0.35">
      <c r="B3" s="27" t="s">
        <v>10</v>
      </c>
      <c r="C3" s="28" t="s">
        <v>416</v>
      </c>
    </row>
    <row r="4" spans="2:18" ht="38.5" customHeight="1" x14ac:dyDescent="0.35">
      <c r="B4" s="21" t="s">
        <v>11</v>
      </c>
      <c r="C4" s="37" t="s">
        <v>507</v>
      </c>
    </row>
    <row r="5" spans="2:18" x14ac:dyDescent="0.35">
      <c r="B5" s="21" t="s">
        <v>236</v>
      </c>
      <c r="C5" s="25" t="s">
        <v>493</v>
      </c>
    </row>
    <row r="6" spans="2:18" x14ac:dyDescent="0.35">
      <c r="B6" s="21" t="s">
        <v>237</v>
      </c>
      <c r="C6" s="25" t="s">
        <v>494</v>
      </c>
    </row>
    <row r="7" spans="2:18" x14ac:dyDescent="0.35">
      <c r="B7" s="21" t="s">
        <v>435</v>
      </c>
      <c r="C7" s="25" t="s">
        <v>494</v>
      </c>
    </row>
    <row r="8" spans="2:18" x14ac:dyDescent="0.35">
      <c r="B8" s="21" t="s">
        <v>239</v>
      </c>
      <c r="C8" s="25" t="s">
        <v>437</v>
      </c>
    </row>
    <row r="9" spans="2:18" x14ac:dyDescent="0.35">
      <c r="B9" s="21" t="s">
        <v>240</v>
      </c>
      <c r="C9" s="98" t="s">
        <v>494</v>
      </c>
    </row>
    <row r="10" spans="2:18" ht="15" thickBot="1" x14ac:dyDescent="0.4">
      <c r="B10" s="22" t="s">
        <v>436</v>
      </c>
      <c r="C10" s="26" t="s">
        <v>494</v>
      </c>
    </row>
    <row r="11" spans="2:18" ht="15" thickBot="1" x14ac:dyDescent="0.4">
      <c r="C11" s="23"/>
      <c r="E11" s="111" t="s">
        <v>15</v>
      </c>
      <c r="F11" s="112"/>
      <c r="G11" s="112"/>
      <c r="H11" s="141"/>
      <c r="J11" s="111" t="s">
        <v>16</v>
      </c>
      <c r="K11" s="112"/>
      <c r="L11" s="113"/>
      <c r="N11" s="128" t="s">
        <v>422</v>
      </c>
      <c r="O11" s="129"/>
      <c r="P11" s="129"/>
      <c r="Q11" s="129"/>
      <c r="R11" s="130"/>
    </row>
    <row r="12" spans="2:18" ht="15" thickBot="1" x14ac:dyDescent="0.4">
      <c r="C12" s="23"/>
      <c r="E12" s="32" t="s">
        <v>0</v>
      </c>
      <c r="F12" s="33" t="s">
        <v>1</v>
      </c>
      <c r="G12" s="87" t="s">
        <v>2</v>
      </c>
      <c r="H12" s="52" t="s">
        <v>403</v>
      </c>
      <c r="J12" s="14" t="s">
        <v>0</v>
      </c>
      <c r="K12" s="12" t="s">
        <v>1</v>
      </c>
      <c r="L12" s="14" t="s">
        <v>24</v>
      </c>
      <c r="N12" s="89" t="s">
        <v>283</v>
      </c>
      <c r="O12" s="90" t="s">
        <v>421</v>
      </c>
      <c r="P12" s="90" t="s">
        <v>284</v>
      </c>
      <c r="Q12" s="90" t="s">
        <v>268</v>
      </c>
      <c r="R12" s="91" t="s">
        <v>403</v>
      </c>
    </row>
    <row r="13" spans="2:18" x14ac:dyDescent="0.35">
      <c r="C13" s="23"/>
      <c r="E13" s="4" t="s">
        <v>208</v>
      </c>
      <c r="F13" s="8">
        <v>281.7</v>
      </c>
      <c r="G13" s="5" t="s">
        <v>382</v>
      </c>
      <c r="H13" s="88"/>
      <c r="J13" s="4" t="s">
        <v>439</v>
      </c>
      <c r="K13" s="8">
        <f>597-K19</f>
        <v>142.55555555555554</v>
      </c>
      <c r="L13" s="4" t="s">
        <v>505</v>
      </c>
      <c r="N13" s="5" t="s">
        <v>322</v>
      </c>
      <c r="O13" s="19">
        <v>9</v>
      </c>
      <c r="P13" s="94">
        <v>500</v>
      </c>
      <c r="Q13" s="19">
        <f>P13*O13</f>
        <v>4500</v>
      </c>
      <c r="R13" s="41" t="s">
        <v>423</v>
      </c>
    </row>
    <row r="14" spans="2:18" x14ac:dyDescent="0.35">
      <c r="C14" s="23"/>
      <c r="E14" s="2" t="s">
        <v>35</v>
      </c>
      <c r="F14" s="9">
        <v>997.25</v>
      </c>
      <c r="G14" s="5" t="s">
        <v>33</v>
      </c>
      <c r="H14" s="79"/>
      <c r="J14" s="4" t="s">
        <v>440</v>
      </c>
      <c r="K14" s="9">
        <v>2.25</v>
      </c>
      <c r="L14" s="4" t="s">
        <v>25</v>
      </c>
      <c r="N14" s="6" t="s">
        <v>322</v>
      </c>
      <c r="O14" s="2">
        <v>1</v>
      </c>
      <c r="P14" s="95">
        <v>341</v>
      </c>
      <c r="Q14" s="2">
        <f t="shared" ref="Q14:Q26" si="0">P14*O14</f>
        <v>341</v>
      </c>
      <c r="R14" s="40" t="s">
        <v>424</v>
      </c>
    </row>
    <row r="15" spans="2:18" x14ac:dyDescent="0.35">
      <c r="C15" s="23"/>
      <c r="E15" s="2" t="s">
        <v>20</v>
      </c>
      <c r="F15" s="9">
        <f>600+600+300+300+150</f>
        <v>1950</v>
      </c>
      <c r="G15" s="5" t="s">
        <v>506</v>
      </c>
      <c r="H15" s="79"/>
      <c r="J15" s="4" t="s">
        <v>358</v>
      </c>
      <c r="K15" s="9">
        <v>13.2</v>
      </c>
      <c r="L15" s="4" t="s">
        <v>505</v>
      </c>
      <c r="N15" s="6" t="s">
        <v>323</v>
      </c>
      <c r="O15" s="2">
        <v>36</v>
      </c>
      <c r="P15" s="95">
        <v>218.4</v>
      </c>
      <c r="Q15" s="2">
        <f t="shared" si="0"/>
        <v>7862.4000000000005</v>
      </c>
      <c r="R15" s="40" t="s">
        <v>358</v>
      </c>
    </row>
    <row r="16" spans="2:18" x14ac:dyDescent="0.35">
      <c r="C16" s="23"/>
      <c r="E16" s="2" t="s">
        <v>49</v>
      </c>
      <c r="F16" s="9">
        <f>367+101/150</f>
        <v>367.67333333333335</v>
      </c>
      <c r="G16" s="6" t="s">
        <v>60</v>
      </c>
      <c r="H16" s="79"/>
      <c r="J16" s="4" t="s">
        <v>441</v>
      </c>
      <c r="K16" s="9">
        <v>0.1</v>
      </c>
      <c r="L16" s="4" t="s">
        <v>8</v>
      </c>
      <c r="N16" s="6" t="s">
        <v>322</v>
      </c>
      <c r="O16" s="2">
        <v>4</v>
      </c>
      <c r="P16" s="95">
        <f>(485.6+1456.8)/2</f>
        <v>971.2</v>
      </c>
      <c r="Q16" s="2">
        <f t="shared" si="0"/>
        <v>3884.8</v>
      </c>
      <c r="R16" s="40" t="s">
        <v>438</v>
      </c>
    </row>
    <row r="17" spans="3:18" x14ac:dyDescent="0.35">
      <c r="C17" s="23"/>
      <c r="E17" s="2" t="s">
        <v>88</v>
      </c>
      <c r="F17" s="9">
        <v>1200</v>
      </c>
      <c r="G17" s="6" t="s">
        <v>60</v>
      </c>
      <c r="H17" s="79"/>
      <c r="J17" s="4" t="s">
        <v>204</v>
      </c>
      <c r="K17" s="9">
        <f>6+1/3</f>
        <v>6.333333333333333</v>
      </c>
      <c r="L17" s="4" t="s">
        <v>8</v>
      </c>
      <c r="N17" s="6" t="s">
        <v>425</v>
      </c>
      <c r="O17" s="2">
        <v>8</v>
      </c>
      <c r="P17" s="95">
        <f>1446.2/2</f>
        <v>723.1</v>
      </c>
      <c r="Q17" s="2">
        <f t="shared" si="0"/>
        <v>5784.8</v>
      </c>
      <c r="R17" s="40" t="s">
        <v>426</v>
      </c>
    </row>
    <row r="18" spans="3:18" x14ac:dyDescent="0.35">
      <c r="C18" s="23"/>
      <c r="E18" s="2" t="s">
        <v>380</v>
      </c>
      <c r="F18" s="9">
        <v>3600</v>
      </c>
      <c r="G18" s="6" t="s">
        <v>60</v>
      </c>
      <c r="H18" s="79"/>
      <c r="J18" s="4" t="s">
        <v>426</v>
      </c>
      <c r="K18" s="9">
        <v>1</v>
      </c>
      <c r="L18" s="4" t="s">
        <v>8</v>
      </c>
      <c r="N18" s="6" t="s">
        <v>323</v>
      </c>
      <c r="O18" s="2">
        <v>8</v>
      </c>
      <c r="P18" s="95">
        <f>(38.8+155.4)/2</f>
        <v>97.1</v>
      </c>
      <c r="Q18" s="2">
        <f t="shared" si="0"/>
        <v>776.8</v>
      </c>
      <c r="R18" s="40" t="s">
        <v>427</v>
      </c>
    </row>
    <row r="19" spans="3:18" x14ac:dyDescent="0.35">
      <c r="C19" s="23"/>
      <c r="E19" s="2" t="s">
        <v>19</v>
      </c>
      <c r="F19" s="9">
        <f>911 +176/225</f>
        <v>911.78222222222223</v>
      </c>
      <c r="G19" s="6"/>
      <c r="H19" s="79"/>
      <c r="J19" s="4" t="s">
        <v>439</v>
      </c>
      <c r="K19" s="9">
        <f>4090/9</f>
        <v>454.44444444444446</v>
      </c>
      <c r="L19" s="4" t="s">
        <v>442</v>
      </c>
      <c r="N19" s="6" t="s">
        <v>323</v>
      </c>
      <c r="O19" s="2">
        <v>8</v>
      </c>
      <c r="P19" s="95">
        <f>(14.1+56.4)/2</f>
        <v>35.25</v>
      </c>
      <c r="Q19" s="2">
        <f t="shared" si="0"/>
        <v>282</v>
      </c>
      <c r="R19" s="40" t="s">
        <v>428</v>
      </c>
    </row>
    <row r="20" spans="3:18" x14ac:dyDescent="0.35">
      <c r="C20" s="23"/>
      <c r="E20" s="2"/>
      <c r="F20" s="9"/>
      <c r="G20" s="6"/>
      <c r="H20" s="79"/>
      <c r="J20" s="2" t="s">
        <v>440</v>
      </c>
      <c r="K20" s="9">
        <v>70</v>
      </c>
      <c r="L20" s="4" t="s">
        <v>442</v>
      </c>
      <c r="N20" s="6" t="s">
        <v>425</v>
      </c>
      <c r="O20" s="2">
        <v>8</v>
      </c>
      <c r="P20" s="95">
        <f>1385.4/2</f>
        <v>692.7</v>
      </c>
      <c r="Q20" s="2">
        <f t="shared" si="0"/>
        <v>5541.6</v>
      </c>
      <c r="R20" s="40" t="s">
        <v>429</v>
      </c>
    </row>
    <row r="21" spans="3:18" x14ac:dyDescent="0.35">
      <c r="C21" s="23"/>
      <c r="E21" s="2"/>
      <c r="F21" s="9"/>
      <c r="G21" s="6"/>
      <c r="H21" s="79"/>
      <c r="J21" s="2"/>
      <c r="K21" s="9"/>
      <c r="L21" s="4"/>
      <c r="N21" s="6" t="s">
        <v>322</v>
      </c>
      <c r="O21" s="2">
        <v>4</v>
      </c>
      <c r="P21" s="95">
        <f>(257.9+773.6)/2</f>
        <v>515.75</v>
      </c>
      <c r="Q21" s="2">
        <f t="shared" si="0"/>
        <v>2063</v>
      </c>
      <c r="R21" s="40" t="s">
        <v>430</v>
      </c>
    </row>
    <row r="22" spans="3:18" x14ac:dyDescent="0.35">
      <c r="C22" s="23"/>
      <c r="E22" s="2"/>
      <c r="F22" s="9"/>
      <c r="G22" s="6"/>
      <c r="H22" s="79"/>
      <c r="J22" s="2"/>
      <c r="K22" s="9"/>
      <c r="L22" s="4"/>
      <c r="N22" s="6" t="s">
        <v>425</v>
      </c>
      <c r="O22" s="2">
        <v>6</v>
      </c>
      <c r="P22" s="95">
        <f>1185.7/2</f>
        <v>592.85</v>
      </c>
      <c r="Q22" s="2">
        <f t="shared" si="0"/>
        <v>3557.1000000000004</v>
      </c>
      <c r="R22" s="40" t="s">
        <v>431</v>
      </c>
    </row>
    <row r="23" spans="3:18" x14ac:dyDescent="0.35">
      <c r="C23" s="23"/>
      <c r="E23" s="2"/>
      <c r="F23" s="9"/>
      <c r="G23" s="6"/>
      <c r="H23" s="79"/>
      <c r="J23" s="2"/>
      <c r="K23" s="9"/>
      <c r="L23" s="4"/>
      <c r="N23" s="6" t="s">
        <v>323</v>
      </c>
      <c r="O23" s="2">
        <v>2</v>
      </c>
      <c r="P23" s="95">
        <f>(51.6+206.3)/2</f>
        <v>128.95000000000002</v>
      </c>
      <c r="Q23" s="2">
        <f t="shared" si="0"/>
        <v>257.90000000000003</v>
      </c>
      <c r="R23" s="40" t="s">
        <v>432</v>
      </c>
    </row>
    <row r="24" spans="3:18" x14ac:dyDescent="0.35">
      <c r="C24" s="23"/>
      <c r="E24" s="2"/>
      <c r="F24" s="9"/>
      <c r="G24" s="6"/>
      <c r="H24" s="79"/>
      <c r="J24" s="2"/>
      <c r="K24" s="9"/>
      <c r="L24" s="4"/>
      <c r="N24" s="6" t="s">
        <v>322</v>
      </c>
      <c r="O24" s="2">
        <v>3</v>
      </c>
      <c r="P24" s="95">
        <f>(220.7+662.1)/2</f>
        <v>441.4</v>
      </c>
      <c r="Q24" s="2">
        <f t="shared" si="0"/>
        <v>1324.1999999999998</v>
      </c>
      <c r="R24" s="40" t="s">
        <v>433</v>
      </c>
    </row>
    <row r="25" spans="3:18" x14ac:dyDescent="0.35">
      <c r="C25" s="23"/>
      <c r="E25" s="2"/>
      <c r="F25" s="9"/>
      <c r="G25" s="6"/>
      <c r="H25" s="79"/>
      <c r="J25" s="2"/>
      <c r="K25" s="9"/>
      <c r="L25" s="4"/>
      <c r="N25" s="6" t="s">
        <v>434</v>
      </c>
      <c r="O25" s="2">
        <v>2</v>
      </c>
      <c r="P25" s="95">
        <v>30</v>
      </c>
      <c r="Q25" s="2">
        <f t="shared" si="0"/>
        <v>60</v>
      </c>
      <c r="R25" s="40"/>
    </row>
    <row r="26" spans="3:18" ht="15" thickBot="1" x14ac:dyDescent="0.4">
      <c r="C26" s="23"/>
      <c r="E26" s="2"/>
      <c r="F26" s="9"/>
      <c r="G26" s="6"/>
      <c r="H26" s="79"/>
      <c r="J26" s="2"/>
      <c r="K26" s="9"/>
      <c r="L26" s="4"/>
      <c r="N26" s="93" t="s">
        <v>361</v>
      </c>
      <c r="O26" s="3">
        <v>4</v>
      </c>
      <c r="P26" s="96">
        <v>6</v>
      </c>
      <c r="Q26" s="3">
        <f t="shared" si="0"/>
        <v>24</v>
      </c>
      <c r="R26" s="97"/>
    </row>
    <row r="27" spans="3:18" ht="15" thickBot="1" x14ac:dyDescent="0.4">
      <c r="C27" s="23"/>
      <c r="E27" s="2"/>
      <c r="F27" s="9"/>
      <c r="G27" s="6"/>
      <c r="H27" s="79"/>
      <c r="J27" s="2"/>
      <c r="K27" s="9"/>
      <c r="L27" s="4"/>
      <c r="N27" s="92" t="s">
        <v>268</v>
      </c>
      <c r="O27" s="132">
        <f>SUM(Q13:Q26)</f>
        <v>36259.599999999999</v>
      </c>
      <c r="P27" s="132"/>
      <c r="Q27" s="132"/>
      <c r="R27" s="133"/>
    </row>
    <row r="28" spans="3:18" x14ac:dyDescent="0.35">
      <c r="C28" s="23"/>
      <c r="E28" s="2"/>
      <c r="F28" s="9"/>
      <c r="G28" s="6"/>
      <c r="H28" s="79"/>
      <c r="J28" s="2"/>
      <c r="K28" s="9"/>
      <c r="L28" s="4"/>
    </row>
    <row r="29" spans="3:18" x14ac:dyDescent="0.35">
      <c r="C29" s="23"/>
      <c r="E29" s="2"/>
      <c r="F29" s="9"/>
      <c r="G29" s="6"/>
      <c r="H29" s="79"/>
      <c r="J29" s="2"/>
      <c r="K29" s="9"/>
      <c r="L29" s="4"/>
    </row>
    <row r="30" spans="3:18" x14ac:dyDescent="0.35">
      <c r="C30" s="23"/>
      <c r="E30" s="2"/>
      <c r="F30" s="9"/>
      <c r="G30" s="6"/>
      <c r="H30" s="79"/>
      <c r="J30" s="2"/>
      <c r="K30" s="9"/>
      <c r="L30" s="4"/>
    </row>
    <row r="31" spans="3:18" x14ac:dyDescent="0.35">
      <c r="C31" s="23"/>
      <c r="E31" s="2"/>
      <c r="F31" s="9"/>
      <c r="G31" s="6"/>
      <c r="H31" s="79"/>
      <c r="J31" s="2"/>
      <c r="K31" s="9"/>
      <c r="L31" s="2"/>
    </row>
    <row r="32" spans="3:18" x14ac:dyDescent="0.35">
      <c r="C32" s="23"/>
      <c r="E32" s="2"/>
      <c r="F32" s="9"/>
      <c r="G32" s="6"/>
      <c r="H32" s="79"/>
      <c r="J32" s="2"/>
      <c r="K32" s="9"/>
      <c r="L32" s="2"/>
    </row>
    <row r="33" spans="3:12" x14ac:dyDescent="0.35">
      <c r="C33" s="23"/>
      <c r="E33" s="2"/>
      <c r="F33" s="9"/>
      <c r="G33" s="6"/>
      <c r="H33" s="79"/>
      <c r="J33" s="2"/>
      <c r="K33" s="9"/>
      <c r="L33" s="2"/>
    </row>
    <row r="34" spans="3:12" x14ac:dyDescent="0.35">
      <c r="C34" s="23"/>
      <c r="E34" s="2"/>
      <c r="F34" s="9"/>
      <c r="G34" s="6"/>
      <c r="H34" s="79"/>
      <c r="J34" s="2"/>
      <c r="K34" s="9"/>
      <c r="L34" s="2"/>
    </row>
    <row r="35" spans="3:12" x14ac:dyDescent="0.35">
      <c r="C35" s="23"/>
      <c r="E35" s="2"/>
      <c r="F35" s="9"/>
      <c r="G35" s="6"/>
      <c r="H35" s="79"/>
      <c r="J35" s="2"/>
      <c r="K35" s="9"/>
      <c r="L35" s="2"/>
    </row>
    <row r="36" spans="3:12" x14ac:dyDescent="0.35">
      <c r="C36" s="23"/>
      <c r="E36" s="2"/>
      <c r="F36" s="9"/>
      <c r="G36" s="6"/>
      <c r="H36" s="79"/>
      <c r="J36" s="2"/>
      <c r="K36" s="9"/>
      <c r="L36" s="2"/>
    </row>
    <row r="37" spans="3:12" x14ac:dyDescent="0.35">
      <c r="C37" s="23"/>
      <c r="E37" s="2"/>
      <c r="F37" s="9"/>
      <c r="G37" s="6"/>
      <c r="H37" s="79"/>
      <c r="J37" s="2"/>
      <c r="K37" s="9"/>
      <c r="L37" s="2"/>
    </row>
    <row r="38" spans="3:12" x14ac:dyDescent="0.35">
      <c r="E38" s="2"/>
      <c r="F38" s="9"/>
      <c r="G38" s="6"/>
      <c r="H38" s="79"/>
      <c r="J38" s="2"/>
      <c r="K38" s="9"/>
      <c r="L38" s="2"/>
    </row>
    <row r="39" spans="3:12" x14ac:dyDescent="0.35">
      <c r="E39" s="2"/>
      <c r="F39" s="9"/>
      <c r="G39" s="6"/>
      <c r="H39" s="79"/>
      <c r="J39" s="2"/>
      <c r="K39" s="9"/>
      <c r="L39" s="2"/>
    </row>
    <row r="40" spans="3:12" x14ac:dyDescent="0.35">
      <c r="E40" s="2"/>
      <c r="F40" s="9"/>
      <c r="G40" s="6"/>
      <c r="H40" s="79"/>
      <c r="J40" s="2"/>
      <c r="K40" s="9"/>
      <c r="L40" s="2"/>
    </row>
    <row r="41" spans="3:12" x14ac:dyDescent="0.35">
      <c r="E41" s="2"/>
      <c r="F41" s="9"/>
      <c r="G41" s="6"/>
      <c r="H41" s="79"/>
      <c r="J41" s="2"/>
      <c r="K41" s="9"/>
      <c r="L41" s="2"/>
    </row>
    <row r="42" spans="3:12" x14ac:dyDescent="0.35">
      <c r="E42" s="2"/>
      <c r="F42" s="9"/>
      <c r="G42" s="6"/>
      <c r="H42" s="79"/>
      <c r="J42" s="2"/>
      <c r="K42" s="9"/>
      <c r="L42" s="2"/>
    </row>
    <row r="43" spans="3:12" x14ac:dyDescent="0.35">
      <c r="E43" s="2"/>
      <c r="F43" s="9"/>
      <c r="G43" s="6"/>
      <c r="H43" s="79"/>
      <c r="J43" s="2"/>
      <c r="K43" s="9"/>
      <c r="L43" s="2"/>
    </row>
    <row r="44" spans="3:12" x14ac:dyDescent="0.35">
      <c r="E44" s="2"/>
      <c r="F44" s="9"/>
      <c r="G44" s="6"/>
      <c r="H44" s="79"/>
      <c r="J44" s="2"/>
      <c r="K44" s="9"/>
      <c r="L44" s="2"/>
    </row>
    <row r="45" spans="3:12" ht="15" thickBot="1" x14ac:dyDescent="0.4">
      <c r="E45" s="3"/>
      <c r="F45" s="10"/>
      <c r="G45" s="7"/>
      <c r="H45" s="82"/>
      <c r="J45" s="3"/>
      <c r="K45" s="10"/>
      <c r="L45" s="3"/>
    </row>
  </sheetData>
  <mergeCells count="4">
    <mergeCell ref="E11:H11"/>
    <mergeCell ref="J11:L11"/>
    <mergeCell ref="N11:R11"/>
    <mergeCell ref="O27:R27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2AD44-57D0-4861-9DBB-9B5C0B218DDD}">
  <dimension ref="B1:R47"/>
  <sheetViews>
    <sheetView workbookViewId="0">
      <selection activeCell="J22" sqref="J22"/>
    </sheetView>
  </sheetViews>
  <sheetFormatPr defaultRowHeight="14.5" x14ac:dyDescent="0.35"/>
  <cols>
    <col min="2" max="2" width="25.90625" bestFit="1" customWidth="1"/>
    <col min="3" max="3" width="19.81640625" bestFit="1" customWidth="1"/>
    <col min="5" max="5" width="14.54296875" bestFit="1" customWidth="1"/>
    <col min="6" max="6" width="11.81640625" bestFit="1" customWidth="1"/>
    <col min="7" max="7" width="15.81640625" bestFit="1" customWidth="1"/>
    <col min="8" max="8" width="10" bestFit="1" customWidth="1"/>
    <col min="10" max="10" width="18.81640625" bestFit="1" customWidth="1"/>
    <col min="11" max="11" width="11.81640625" bestFit="1" customWidth="1"/>
    <col min="12" max="12" width="19.54296875" bestFit="1" customWidth="1"/>
    <col min="14" max="14" width="17.08984375" bestFit="1" customWidth="1"/>
    <col min="15" max="15" width="7.54296875" bestFit="1" customWidth="1"/>
    <col min="16" max="16" width="12.1796875" bestFit="1" customWidth="1"/>
    <col min="17" max="17" width="7.81640625" bestFit="1" customWidth="1"/>
    <col min="18" max="18" width="33.7265625" bestFit="1" customWidth="1"/>
  </cols>
  <sheetData>
    <row r="1" spans="2:18" ht="15" thickBot="1" x14ac:dyDescent="0.4"/>
    <row r="2" spans="2:18" x14ac:dyDescent="0.35">
      <c r="B2" s="20" t="s">
        <v>9</v>
      </c>
      <c r="C2" s="24" t="s">
        <v>505</v>
      </c>
    </row>
    <row r="3" spans="2:18" ht="136" customHeight="1" x14ac:dyDescent="0.35">
      <c r="B3" s="27" t="s">
        <v>10</v>
      </c>
      <c r="C3" s="31" t="s">
        <v>508</v>
      </c>
    </row>
    <row r="4" spans="2:18" x14ac:dyDescent="0.35">
      <c r="B4" s="21" t="s">
        <v>11</v>
      </c>
      <c r="C4" s="25" t="s">
        <v>514</v>
      </c>
    </row>
    <row r="5" spans="2:18" x14ac:dyDescent="0.35">
      <c r="B5" s="21" t="s">
        <v>236</v>
      </c>
      <c r="C5" s="25" t="s">
        <v>502</v>
      </c>
    </row>
    <row r="6" spans="2:18" x14ac:dyDescent="0.35">
      <c r="B6" s="21" t="s">
        <v>237</v>
      </c>
      <c r="C6" s="25" t="s">
        <v>501</v>
      </c>
    </row>
    <row r="7" spans="2:18" x14ac:dyDescent="0.35">
      <c r="B7" s="21" t="s">
        <v>355</v>
      </c>
      <c r="C7" s="25" t="s">
        <v>500</v>
      </c>
    </row>
    <row r="8" spans="2:18" x14ac:dyDescent="0.35">
      <c r="B8" s="21" t="s">
        <v>443</v>
      </c>
      <c r="C8" s="25" t="s">
        <v>510</v>
      </c>
    </row>
    <row r="9" spans="2:18" x14ac:dyDescent="0.35">
      <c r="B9" s="21" t="s">
        <v>239</v>
      </c>
      <c r="C9" s="25" t="s">
        <v>511</v>
      </c>
    </row>
    <row r="10" spans="2:18" x14ac:dyDescent="0.35">
      <c r="B10" s="21" t="s">
        <v>240</v>
      </c>
      <c r="C10" s="98" t="s">
        <v>504</v>
      </c>
    </row>
    <row r="11" spans="2:18" x14ac:dyDescent="0.35">
      <c r="B11" s="99" t="s">
        <v>356</v>
      </c>
      <c r="C11" s="98" t="s">
        <v>503</v>
      </c>
    </row>
    <row r="12" spans="2:18" ht="15" thickBot="1" x14ac:dyDescent="0.4">
      <c r="B12" s="22" t="s">
        <v>444</v>
      </c>
      <c r="C12" s="26" t="s">
        <v>512</v>
      </c>
    </row>
    <row r="13" spans="2:18" ht="15" thickBot="1" x14ac:dyDescent="0.4">
      <c r="E13" s="111" t="s">
        <v>15</v>
      </c>
      <c r="F13" s="112"/>
      <c r="G13" s="112"/>
      <c r="H13" s="141"/>
      <c r="J13" s="111" t="s">
        <v>16</v>
      </c>
      <c r="K13" s="112"/>
      <c r="L13" s="113"/>
      <c r="N13" s="128" t="s">
        <v>422</v>
      </c>
      <c r="O13" s="129"/>
      <c r="P13" s="129"/>
      <c r="Q13" s="129"/>
      <c r="R13" s="130"/>
    </row>
    <row r="14" spans="2:18" ht="15" thickBot="1" x14ac:dyDescent="0.4">
      <c r="E14" s="32" t="s">
        <v>0</v>
      </c>
      <c r="F14" s="33" t="s">
        <v>1</v>
      </c>
      <c r="G14" s="87" t="s">
        <v>2</v>
      </c>
      <c r="H14" s="52" t="s">
        <v>403</v>
      </c>
      <c r="J14" s="14" t="s">
        <v>0</v>
      </c>
      <c r="K14" s="12" t="s">
        <v>1</v>
      </c>
      <c r="L14" s="14" t="s">
        <v>24</v>
      </c>
      <c r="N14" s="89" t="s">
        <v>283</v>
      </c>
      <c r="O14" s="90" t="s">
        <v>421</v>
      </c>
      <c r="P14" s="90" t="s">
        <v>284</v>
      </c>
      <c r="Q14" s="104" t="s">
        <v>268</v>
      </c>
      <c r="R14" s="91" t="s">
        <v>403</v>
      </c>
    </row>
    <row r="15" spans="2:18" x14ac:dyDescent="0.35">
      <c r="E15" s="4" t="s">
        <v>20</v>
      </c>
      <c r="F15" s="8">
        <v>600</v>
      </c>
      <c r="G15" s="5" t="s">
        <v>506</v>
      </c>
      <c r="H15" s="88"/>
      <c r="J15" s="4" t="s">
        <v>103</v>
      </c>
      <c r="K15" s="8">
        <f>101+1/15+200+28 + 1901/2550-310</f>
        <v>19.812156862745098</v>
      </c>
      <c r="L15" s="4" t="s">
        <v>25</v>
      </c>
      <c r="N15" s="5" t="s">
        <v>322</v>
      </c>
      <c r="O15" s="19">
        <v>6</v>
      </c>
      <c r="P15" s="94">
        <f>(444.1+148)/2</f>
        <v>296.05</v>
      </c>
      <c r="Q15" s="19">
        <f>O15*P15</f>
        <v>1776.3000000000002</v>
      </c>
      <c r="R15" s="41" t="s">
        <v>495</v>
      </c>
    </row>
    <row r="16" spans="2:18" x14ac:dyDescent="0.35">
      <c r="E16" s="2" t="s">
        <v>19</v>
      </c>
      <c r="F16" s="9">
        <f>6042+7/8</f>
        <v>6042.875</v>
      </c>
      <c r="G16" s="5" t="s">
        <v>62</v>
      </c>
      <c r="H16" s="79"/>
      <c r="J16" s="4" t="s">
        <v>103</v>
      </c>
      <c r="K16" s="9">
        <f>200-K15</f>
        <v>180.1878431372549</v>
      </c>
      <c r="L16" s="4" t="s">
        <v>514</v>
      </c>
      <c r="N16" s="6" t="s">
        <v>496</v>
      </c>
      <c r="O16" s="2">
        <v>12</v>
      </c>
      <c r="P16" s="95">
        <f>(79.5+318.1)/2</f>
        <v>198.8</v>
      </c>
      <c r="Q16" s="2">
        <f>O16*P16</f>
        <v>2385.6000000000004</v>
      </c>
      <c r="R16" s="40" t="s">
        <v>497</v>
      </c>
    </row>
    <row r="17" spans="5:18" x14ac:dyDescent="0.35">
      <c r="E17" s="2" t="s">
        <v>380</v>
      </c>
      <c r="F17" s="9">
        <v>3600</v>
      </c>
      <c r="G17" s="5" t="s">
        <v>60</v>
      </c>
      <c r="H17" s="79"/>
      <c r="J17" s="4" t="s">
        <v>509</v>
      </c>
      <c r="K17" s="9">
        <v>5</v>
      </c>
      <c r="L17" s="4" t="s">
        <v>8</v>
      </c>
      <c r="N17" s="6" t="s">
        <v>496</v>
      </c>
      <c r="O17" s="2">
        <v>4</v>
      </c>
      <c r="P17" s="95">
        <f>(89.8+359.2)/2</f>
        <v>224.5</v>
      </c>
      <c r="Q17" s="2">
        <f>O17*P17</f>
        <v>898</v>
      </c>
      <c r="R17" s="40" t="s">
        <v>498</v>
      </c>
    </row>
    <row r="18" spans="5:18" x14ac:dyDescent="0.35">
      <c r="E18" s="2" t="s">
        <v>325</v>
      </c>
      <c r="F18" s="9">
        <v>13.2</v>
      </c>
      <c r="G18" s="6" t="s">
        <v>470</v>
      </c>
      <c r="H18" s="79"/>
      <c r="J18" s="4" t="s">
        <v>439</v>
      </c>
      <c r="K18" s="9">
        <f>858+13/72-K19</f>
        <v>778.18055555555554</v>
      </c>
      <c r="L18" s="4" t="s">
        <v>25</v>
      </c>
      <c r="N18" s="6" t="s">
        <v>322</v>
      </c>
      <c r="O18" s="2">
        <v>3</v>
      </c>
      <c r="P18" s="95">
        <f>(1152.8+384.3)/2</f>
        <v>768.55</v>
      </c>
      <c r="Q18" s="2">
        <f t="shared" ref="Q18:Q20" si="0">O18*P18</f>
        <v>2305.6499999999996</v>
      </c>
      <c r="R18" s="40" t="s">
        <v>469</v>
      </c>
    </row>
    <row r="19" spans="5:18" x14ac:dyDescent="0.35">
      <c r="E19" s="2" t="s">
        <v>384</v>
      </c>
      <c r="F19" s="9">
        <f>142 +5/9</f>
        <v>142.55555555555554</v>
      </c>
      <c r="G19" s="6" t="s">
        <v>470</v>
      </c>
      <c r="H19" s="79"/>
      <c r="J19" s="4" t="s">
        <v>439</v>
      </c>
      <c r="K19" s="9">
        <v>80</v>
      </c>
      <c r="L19" s="4" t="s">
        <v>514</v>
      </c>
      <c r="N19" s="6" t="s">
        <v>496</v>
      </c>
      <c r="O19" s="2">
        <v>2</v>
      </c>
      <c r="P19" s="95">
        <f>(346.4+86.6)/2</f>
        <v>216.5</v>
      </c>
      <c r="Q19" s="2">
        <f t="shared" si="0"/>
        <v>433</v>
      </c>
      <c r="R19" s="40" t="s">
        <v>499</v>
      </c>
    </row>
    <row r="20" spans="5:18" x14ac:dyDescent="0.35">
      <c r="E20" s="2" t="s">
        <v>136</v>
      </c>
      <c r="F20" s="9">
        <v>447.5</v>
      </c>
      <c r="G20" s="6" t="s">
        <v>442</v>
      </c>
      <c r="H20" s="79"/>
      <c r="J20" s="4"/>
      <c r="K20" s="9"/>
      <c r="L20" s="4"/>
      <c r="N20" s="6" t="s">
        <v>496</v>
      </c>
      <c r="O20" s="2">
        <v>1</v>
      </c>
      <c r="P20" s="95">
        <f>(7.6+1.9)/2</f>
        <v>4.75</v>
      </c>
      <c r="Q20" s="2">
        <f t="shared" si="0"/>
        <v>4.75</v>
      </c>
      <c r="R20" s="40" t="s">
        <v>499</v>
      </c>
    </row>
    <row r="21" spans="5:18" x14ac:dyDescent="0.35">
      <c r="E21" s="2" t="s">
        <v>18</v>
      </c>
      <c r="F21" s="9">
        <v>590</v>
      </c>
      <c r="G21" s="6" t="s">
        <v>442</v>
      </c>
      <c r="H21" s="79"/>
      <c r="J21" s="4"/>
      <c r="K21" s="9"/>
      <c r="L21" s="4"/>
      <c r="N21" s="6"/>
      <c r="O21" s="2"/>
      <c r="P21" s="95"/>
      <c r="Q21" s="2"/>
      <c r="R21" s="40"/>
    </row>
    <row r="22" spans="5:18" x14ac:dyDescent="0.35">
      <c r="E22" s="2" t="s">
        <v>163</v>
      </c>
      <c r="F22" s="9">
        <v>442.5</v>
      </c>
      <c r="G22" s="6" t="s">
        <v>442</v>
      </c>
      <c r="H22" s="79"/>
      <c r="J22" s="2"/>
      <c r="K22" s="9"/>
      <c r="L22" s="4"/>
      <c r="N22" s="6"/>
      <c r="O22" s="2"/>
      <c r="P22" s="95"/>
      <c r="Q22" s="2"/>
      <c r="R22" s="40"/>
    </row>
    <row r="23" spans="5:18" x14ac:dyDescent="0.35">
      <c r="E23" s="2" t="s">
        <v>17</v>
      </c>
      <c r="F23" s="9">
        <v>3600</v>
      </c>
      <c r="G23" s="6" t="s">
        <v>60</v>
      </c>
      <c r="H23" s="79"/>
      <c r="J23" s="2"/>
      <c r="K23" s="9"/>
      <c r="L23" s="4"/>
      <c r="N23" s="6"/>
      <c r="O23" s="2"/>
      <c r="P23" s="95"/>
      <c r="Q23" s="2"/>
      <c r="R23" s="40"/>
    </row>
    <row r="24" spans="5:18" x14ac:dyDescent="0.35">
      <c r="E24" s="2"/>
      <c r="F24" s="9"/>
      <c r="G24" s="6"/>
      <c r="H24" s="79"/>
      <c r="J24" s="2"/>
      <c r="K24" s="9"/>
      <c r="L24" s="4"/>
      <c r="N24" s="6"/>
      <c r="O24" s="2"/>
      <c r="P24" s="95"/>
      <c r="Q24" s="2"/>
      <c r="R24" s="40"/>
    </row>
    <row r="25" spans="5:18" x14ac:dyDescent="0.35">
      <c r="E25" s="2"/>
      <c r="F25" s="9"/>
      <c r="G25" s="6"/>
      <c r="H25" s="79"/>
      <c r="J25" s="2"/>
      <c r="K25" s="9"/>
      <c r="L25" s="4"/>
      <c r="N25" s="6"/>
      <c r="O25" s="2"/>
      <c r="P25" s="95"/>
      <c r="Q25" s="2"/>
      <c r="R25" s="40"/>
    </row>
    <row r="26" spans="5:18" x14ac:dyDescent="0.35">
      <c r="E26" s="2"/>
      <c r="F26" s="9"/>
      <c r="G26" s="6"/>
      <c r="H26" s="79"/>
      <c r="J26" s="2"/>
      <c r="K26" s="9"/>
      <c r="L26" s="4"/>
      <c r="N26" s="6"/>
      <c r="O26" s="2"/>
      <c r="P26" s="95"/>
      <c r="Q26" s="2"/>
      <c r="R26" s="40"/>
    </row>
    <row r="27" spans="5:18" x14ac:dyDescent="0.35">
      <c r="E27" s="2"/>
      <c r="F27" s="9"/>
      <c r="G27" s="6"/>
      <c r="H27" s="79"/>
      <c r="J27" s="2"/>
      <c r="K27" s="9"/>
      <c r="L27" s="4"/>
      <c r="N27" s="6"/>
      <c r="O27" s="2"/>
      <c r="P27" s="95"/>
      <c r="Q27" s="2"/>
      <c r="R27" s="40"/>
    </row>
    <row r="28" spans="5:18" ht="15" thickBot="1" x14ac:dyDescent="0.4">
      <c r="E28" s="2"/>
      <c r="F28" s="9"/>
      <c r="G28" s="6"/>
      <c r="H28" s="79"/>
      <c r="J28" s="2"/>
      <c r="K28" s="9"/>
      <c r="L28" s="4"/>
      <c r="N28" s="93"/>
      <c r="O28" s="3"/>
      <c r="P28" s="96"/>
      <c r="Q28" s="3"/>
      <c r="R28" s="97"/>
    </row>
    <row r="29" spans="5:18" ht="15" thickBot="1" x14ac:dyDescent="0.4">
      <c r="E29" s="2"/>
      <c r="F29" s="9"/>
      <c r="G29" s="6"/>
      <c r="H29" s="79"/>
      <c r="J29" s="2"/>
      <c r="K29" s="9"/>
      <c r="L29" s="4"/>
      <c r="N29" s="105" t="s">
        <v>268</v>
      </c>
      <c r="O29" s="132">
        <f>SUM(Q15:Q20)</f>
        <v>7803.3</v>
      </c>
      <c r="P29" s="132"/>
      <c r="Q29" s="144"/>
      <c r="R29" s="133"/>
    </row>
    <row r="30" spans="5:18" x14ac:dyDescent="0.35">
      <c r="E30" s="2"/>
      <c r="F30" s="9"/>
      <c r="G30" s="6"/>
      <c r="H30" s="79"/>
      <c r="J30" s="2"/>
      <c r="K30" s="9"/>
      <c r="L30" s="4"/>
    </row>
    <row r="31" spans="5:18" x14ac:dyDescent="0.35">
      <c r="E31" s="2"/>
      <c r="F31" s="9"/>
      <c r="G31" s="6"/>
      <c r="H31" s="79"/>
      <c r="J31" s="2"/>
      <c r="K31" s="9"/>
      <c r="L31" s="4"/>
    </row>
    <row r="32" spans="5:18" x14ac:dyDescent="0.35">
      <c r="E32" s="2"/>
      <c r="F32" s="9"/>
      <c r="G32" s="6"/>
      <c r="H32" s="79"/>
      <c r="J32" s="2"/>
      <c r="K32" s="9"/>
      <c r="L32" s="4"/>
    </row>
    <row r="33" spans="5:12" x14ac:dyDescent="0.35">
      <c r="E33" s="2"/>
      <c r="F33" s="9"/>
      <c r="G33" s="6"/>
      <c r="H33" s="79"/>
      <c r="J33" s="2"/>
      <c r="K33" s="9"/>
      <c r="L33" s="2"/>
    </row>
    <row r="34" spans="5:12" x14ac:dyDescent="0.35">
      <c r="E34" s="2"/>
      <c r="F34" s="9"/>
      <c r="G34" s="6"/>
      <c r="H34" s="79"/>
      <c r="J34" s="2"/>
      <c r="K34" s="9"/>
      <c r="L34" s="2"/>
    </row>
    <row r="35" spans="5:12" x14ac:dyDescent="0.35">
      <c r="E35" s="2"/>
      <c r="F35" s="9"/>
      <c r="G35" s="6"/>
      <c r="H35" s="79"/>
      <c r="J35" s="2"/>
      <c r="K35" s="9"/>
      <c r="L35" s="2"/>
    </row>
    <row r="36" spans="5:12" x14ac:dyDescent="0.35">
      <c r="E36" s="2"/>
      <c r="F36" s="9"/>
      <c r="G36" s="6"/>
      <c r="H36" s="79"/>
      <c r="J36" s="2"/>
      <c r="K36" s="9"/>
      <c r="L36" s="2"/>
    </row>
    <row r="37" spans="5:12" x14ac:dyDescent="0.35">
      <c r="E37" s="2"/>
      <c r="F37" s="9"/>
      <c r="G37" s="6"/>
      <c r="H37" s="79"/>
      <c r="J37" s="2"/>
      <c r="K37" s="9"/>
      <c r="L37" s="2"/>
    </row>
    <row r="38" spans="5:12" x14ac:dyDescent="0.35">
      <c r="E38" s="2"/>
      <c r="F38" s="9"/>
      <c r="G38" s="6"/>
      <c r="H38" s="79"/>
      <c r="J38" s="2"/>
      <c r="K38" s="9"/>
      <c r="L38" s="2"/>
    </row>
    <row r="39" spans="5:12" x14ac:dyDescent="0.35">
      <c r="E39" s="2"/>
      <c r="F39" s="9"/>
      <c r="G39" s="6"/>
      <c r="H39" s="79"/>
      <c r="J39" s="2"/>
      <c r="K39" s="9"/>
      <c r="L39" s="2"/>
    </row>
    <row r="40" spans="5:12" x14ac:dyDescent="0.35">
      <c r="E40" s="2"/>
      <c r="F40" s="9"/>
      <c r="G40" s="6"/>
      <c r="H40" s="79"/>
      <c r="J40" s="2"/>
      <c r="K40" s="9"/>
      <c r="L40" s="2"/>
    </row>
    <row r="41" spans="5:12" x14ac:dyDescent="0.35">
      <c r="E41" s="2"/>
      <c r="F41" s="9"/>
      <c r="G41" s="6"/>
      <c r="H41" s="79"/>
      <c r="J41" s="2"/>
      <c r="K41" s="9"/>
      <c r="L41" s="2"/>
    </row>
    <row r="42" spans="5:12" x14ac:dyDescent="0.35">
      <c r="E42" s="2"/>
      <c r="F42" s="9"/>
      <c r="G42" s="6"/>
      <c r="H42" s="79"/>
      <c r="J42" s="2"/>
      <c r="K42" s="9"/>
      <c r="L42" s="2"/>
    </row>
    <row r="43" spans="5:12" x14ac:dyDescent="0.35">
      <c r="E43" s="2"/>
      <c r="F43" s="9"/>
      <c r="G43" s="6"/>
      <c r="H43" s="79"/>
      <c r="J43" s="2"/>
      <c r="K43" s="9"/>
      <c r="L43" s="2"/>
    </row>
    <row r="44" spans="5:12" x14ac:dyDescent="0.35">
      <c r="E44" s="2"/>
      <c r="F44" s="9"/>
      <c r="G44" s="6"/>
      <c r="H44" s="79"/>
      <c r="J44" s="2"/>
      <c r="K44" s="9"/>
      <c r="L44" s="2"/>
    </row>
    <row r="45" spans="5:12" x14ac:dyDescent="0.35">
      <c r="E45" s="2"/>
      <c r="F45" s="9"/>
      <c r="G45" s="6"/>
      <c r="H45" s="79"/>
      <c r="J45" s="2"/>
      <c r="K45" s="9"/>
      <c r="L45" s="2"/>
    </row>
    <row r="46" spans="5:12" x14ac:dyDescent="0.35">
      <c r="E46" s="2"/>
      <c r="F46" s="9"/>
      <c r="G46" s="6"/>
      <c r="H46" s="79"/>
      <c r="J46" s="2"/>
      <c r="K46" s="9"/>
      <c r="L46" s="2"/>
    </row>
    <row r="47" spans="5:12" ht="15" thickBot="1" x14ac:dyDescent="0.4">
      <c r="E47" s="3"/>
      <c r="F47" s="10"/>
      <c r="G47" s="7"/>
      <c r="H47" s="82"/>
      <c r="J47" s="3"/>
      <c r="K47" s="10"/>
      <c r="L47" s="3"/>
    </row>
  </sheetData>
  <mergeCells count="4">
    <mergeCell ref="E13:H13"/>
    <mergeCell ref="J13:L13"/>
    <mergeCell ref="N13:R13"/>
    <mergeCell ref="O29:R29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9D620-923C-4937-810A-6C8CDA7CC8CD}">
  <dimension ref="C2:U72"/>
  <sheetViews>
    <sheetView workbookViewId="0">
      <selection activeCell="D44" sqref="D44"/>
    </sheetView>
  </sheetViews>
  <sheetFormatPr defaultRowHeight="14.5" x14ac:dyDescent="0.35"/>
  <cols>
    <col min="3" max="3" width="25.90625" bestFit="1" customWidth="1"/>
    <col min="4" max="4" width="28.1796875" customWidth="1"/>
    <col min="6" max="6" width="20.36328125" bestFit="1" customWidth="1"/>
    <col min="7" max="7" width="11.81640625" bestFit="1" customWidth="1"/>
    <col min="8" max="8" width="19.81640625" bestFit="1" customWidth="1"/>
    <col min="9" max="9" width="33.08984375" bestFit="1" customWidth="1"/>
    <col min="11" max="11" width="22.81640625" bestFit="1" customWidth="1"/>
    <col min="12" max="12" width="11.81640625" bestFit="1" customWidth="1"/>
    <col min="13" max="13" width="17.90625" bestFit="1" customWidth="1"/>
    <col min="15" max="15" width="17.08984375" bestFit="1" customWidth="1"/>
    <col min="16" max="16" width="7.36328125" bestFit="1" customWidth="1"/>
    <col min="17" max="17" width="18.1796875" bestFit="1" customWidth="1"/>
    <col min="18" max="18" width="22.90625" bestFit="1" customWidth="1"/>
    <col min="19" max="19" width="40.08984375" bestFit="1" customWidth="1"/>
    <col min="20" max="20" width="12.1796875" bestFit="1" customWidth="1"/>
    <col min="21" max="21" width="16.7265625" bestFit="1" customWidth="1"/>
  </cols>
  <sheetData>
    <row r="2" spans="3:21" ht="15" thickBot="1" x14ac:dyDescent="0.4"/>
    <row r="3" spans="3:21" x14ac:dyDescent="0.35">
      <c r="C3" s="20" t="s">
        <v>9</v>
      </c>
      <c r="D3" s="24" t="s">
        <v>514</v>
      </c>
    </row>
    <row r="4" spans="3:21" ht="96" customHeight="1" x14ac:dyDescent="0.35">
      <c r="C4" s="27" t="s">
        <v>10</v>
      </c>
      <c r="D4" s="31" t="s">
        <v>533</v>
      </c>
    </row>
    <row r="5" spans="3:21" x14ac:dyDescent="0.35">
      <c r="C5" s="21" t="s">
        <v>11</v>
      </c>
      <c r="D5" s="25"/>
    </row>
    <row r="6" spans="3:21" x14ac:dyDescent="0.35">
      <c r="C6" s="21" t="s">
        <v>236</v>
      </c>
      <c r="D6" s="25" t="s">
        <v>546</v>
      </c>
    </row>
    <row r="7" spans="3:21" x14ac:dyDescent="0.35">
      <c r="C7" s="21" t="s">
        <v>237</v>
      </c>
      <c r="D7" s="25" t="s">
        <v>547</v>
      </c>
    </row>
    <row r="8" spans="3:21" x14ac:dyDescent="0.35">
      <c r="C8" s="21" t="s">
        <v>549</v>
      </c>
      <c r="D8" s="25" t="s">
        <v>550</v>
      </c>
    </row>
    <row r="9" spans="3:21" x14ac:dyDescent="0.35">
      <c r="C9" s="21" t="s">
        <v>239</v>
      </c>
      <c r="D9" s="25" t="s">
        <v>551</v>
      </c>
    </row>
    <row r="10" spans="3:21" x14ac:dyDescent="0.35">
      <c r="C10" s="99" t="s">
        <v>240</v>
      </c>
      <c r="D10" s="98" t="s">
        <v>553</v>
      </c>
    </row>
    <row r="11" spans="3:21" ht="15" thickBot="1" x14ac:dyDescent="0.4">
      <c r="C11" s="22" t="s">
        <v>548</v>
      </c>
      <c r="D11" s="26"/>
    </row>
    <row r="12" spans="3:21" ht="15" thickBot="1" x14ac:dyDescent="0.4">
      <c r="D12" s="23"/>
      <c r="F12" s="111" t="s">
        <v>15</v>
      </c>
      <c r="G12" s="112"/>
      <c r="H12" s="112"/>
      <c r="I12" s="141"/>
      <c r="K12" s="111" t="s">
        <v>16</v>
      </c>
      <c r="L12" s="112"/>
      <c r="M12" s="113"/>
      <c r="O12" s="111" t="s">
        <v>481</v>
      </c>
      <c r="P12" s="112"/>
      <c r="Q12" s="112"/>
      <c r="R12" s="112"/>
      <c r="S12" s="112"/>
      <c r="T12" s="112"/>
      <c r="U12" s="113"/>
    </row>
    <row r="13" spans="3:21" ht="15" thickBot="1" x14ac:dyDescent="0.4">
      <c r="D13" s="23"/>
      <c r="F13" s="100" t="s">
        <v>0</v>
      </c>
      <c r="G13" s="15" t="s">
        <v>1</v>
      </c>
      <c r="H13" s="101" t="s">
        <v>2</v>
      </c>
      <c r="I13" s="34" t="s">
        <v>515</v>
      </c>
      <c r="K13" s="14" t="s">
        <v>0</v>
      </c>
      <c r="L13" s="12" t="s">
        <v>1</v>
      </c>
      <c r="M13" s="14" t="s">
        <v>24</v>
      </c>
      <c r="O13" s="34" t="s">
        <v>283</v>
      </c>
      <c r="P13" s="34" t="s">
        <v>1</v>
      </c>
      <c r="Q13" s="34" t="s">
        <v>479</v>
      </c>
      <c r="R13" s="34" t="s">
        <v>513</v>
      </c>
      <c r="S13" s="34" t="s">
        <v>24</v>
      </c>
      <c r="T13" s="34" t="s">
        <v>284</v>
      </c>
      <c r="U13" s="34" t="s">
        <v>483</v>
      </c>
    </row>
    <row r="14" spans="3:21" x14ac:dyDescent="0.35">
      <c r="D14" s="23"/>
      <c r="F14" s="46" t="s">
        <v>20</v>
      </c>
      <c r="G14" s="43">
        <v>1200</v>
      </c>
      <c r="H14" s="102" t="s">
        <v>23</v>
      </c>
      <c r="I14" s="19" t="s">
        <v>516</v>
      </c>
      <c r="K14" s="4" t="s">
        <v>325</v>
      </c>
      <c r="L14" s="8">
        <f>13+7/15</f>
        <v>13.466666666666667</v>
      </c>
      <c r="M14" s="4" t="s">
        <v>8</v>
      </c>
      <c r="O14" s="106" t="s">
        <v>322</v>
      </c>
      <c r="P14" s="43">
        <v>6</v>
      </c>
      <c r="Q14" s="107" t="s">
        <v>516</v>
      </c>
      <c r="R14" s="43" t="s">
        <v>319</v>
      </c>
      <c r="S14" s="107" t="s">
        <v>325</v>
      </c>
      <c r="T14" s="106">
        <f>(250+750)/2</f>
        <v>500</v>
      </c>
      <c r="U14" s="43">
        <f t="shared" ref="U14:U25" si="0">P14*T14</f>
        <v>3000</v>
      </c>
    </row>
    <row r="15" spans="3:21" x14ac:dyDescent="0.35">
      <c r="D15" s="23"/>
      <c r="F15" s="6" t="s">
        <v>19</v>
      </c>
      <c r="G15" s="11">
        <f>270+127+34/65+0.2</f>
        <v>397.72307692307692</v>
      </c>
      <c r="H15" s="95" t="s">
        <v>62</v>
      </c>
      <c r="I15" s="2" t="s">
        <v>518</v>
      </c>
      <c r="K15" s="4" t="s">
        <v>103</v>
      </c>
      <c r="L15" s="9">
        <f>310-304.6</f>
        <v>5.3999999999999773</v>
      </c>
      <c r="M15" s="4" t="s">
        <v>8</v>
      </c>
      <c r="O15" s="108" t="s">
        <v>496</v>
      </c>
      <c r="P15" s="11">
        <v>20</v>
      </c>
      <c r="Q15" s="9" t="s">
        <v>516</v>
      </c>
      <c r="R15" s="11" t="s">
        <v>325</v>
      </c>
      <c r="S15" s="9" t="s">
        <v>517</v>
      </c>
      <c r="T15" s="108">
        <f>(100+400)/2</f>
        <v>250</v>
      </c>
      <c r="U15" s="11">
        <f t="shared" si="0"/>
        <v>5000</v>
      </c>
    </row>
    <row r="16" spans="3:21" x14ac:dyDescent="0.35">
      <c r="D16" s="23"/>
      <c r="F16" s="6" t="s">
        <v>52</v>
      </c>
      <c r="G16" s="11">
        <v>127.2</v>
      </c>
      <c r="H16" s="95" t="s">
        <v>60</v>
      </c>
      <c r="I16" s="2" t="s">
        <v>518</v>
      </c>
      <c r="K16" s="4" t="s">
        <v>552</v>
      </c>
      <c r="L16" s="9">
        <v>2.4</v>
      </c>
      <c r="M16" s="4" t="s">
        <v>8</v>
      </c>
      <c r="O16" s="108" t="s">
        <v>496</v>
      </c>
      <c r="P16" s="11">
        <v>3</v>
      </c>
      <c r="Q16" s="9" t="s">
        <v>532</v>
      </c>
      <c r="R16" s="11" t="s">
        <v>536</v>
      </c>
      <c r="S16" s="9" t="s">
        <v>537</v>
      </c>
      <c r="T16" s="108">
        <f>(23.4+93.6)/2</f>
        <v>58.5</v>
      </c>
      <c r="U16" s="11">
        <f t="shared" si="0"/>
        <v>175.5</v>
      </c>
    </row>
    <row r="17" spans="4:21" x14ac:dyDescent="0.35">
      <c r="D17" s="23"/>
      <c r="F17" s="6" t="s">
        <v>34</v>
      </c>
      <c r="G17" s="11">
        <f>473+27/65</f>
        <v>473.4153846153846</v>
      </c>
      <c r="H17" s="95" t="s">
        <v>60</v>
      </c>
      <c r="I17" s="2" t="s">
        <v>518</v>
      </c>
      <c r="K17" s="4" t="s">
        <v>541</v>
      </c>
      <c r="L17" s="9">
        <v>1</v>
      </c>
      <c r="M17" s="4" t="s">
        <v>8</v>
      </c>
      <c r="O17" s="108" t="s">
        <v>496</v>
      </c>
      <c r="P17" s="11">
        <v>3</v>
      </c>
      <c r="Q17" s="9" t="s">
        <v>532</v>
      </c>
      <c r="R17" s="11" t="s">
        <v>536</v>
      </c>
      <c r="S17" s="9" t="s">
        <v>426</v>
      </c>
      <c r="T17" s="108">
        <f>(39.1+156.5)/2</f>
        <v>97.8</v>
      </c>
      <c r="U17" s="11">
        <f t="shared" si="0"/>
        <v>293.39999999999998</v>
      </c>
    </row>
    <row r="18" spans="4:21" x14ac:dyDescent="0.35">
      <c r="D18" s="23"/>
      <c r="F18" s="6" t="s">
        <v>34</v>
      </c>
      <c r="G18" s="11">
        <f>128+109/117</f>
        <v>128.93162393162393</v>
      </c>
      <c r="H18" s="95" t="s">
        <v>60</v>
      </c>
      <c r="I18" s="2" t="s">
        <v>519</v>
      </c>
      <c r="K18" s="4" t="s">
        <v>538</v>
      </c>
      <c r="L18" s="9">
        <v>7</v>
      </c>
      <c r="M18" s="4" t="s">
        <v>8</v>
      </c>
      <c r="O18" s="108" t="s">
        <v>496</v>
      </c>
      <c r="P18" s="11">
        <v>3</v>
      </c>
      <c r="Q18" s="9" t="s">
        <v>532</v>
      </c>
      <c r="R18" s="11" t="s">
        <v>385</v>
      </c>
      <c r="S18" s="9" t="s">
        <v>387</v>
      </c>
      <c r="T18" s="108">
        <f>(58.5+234)/2</f>
        <v>146.25</v>
      </c>
      <c r="U18" s="11">
        <f t="shared" si="0"/>
        <v>438.75</v>
      </c>
    </row>
    <row r="19" spans="4:21" x14ac:dyDescent="0.35">
      <c r="D19" s="23"/>
      <c r="F19" s="6" t="s">
        <v>19</v>
      </c>
      <c r="G19" s="11">
        <f>73+79/117</f>
        <v>73.675213675213669</v>
      </c>
      <c r="H19" s="95" t="s">
        <v>62</v>
      </c>
      <c r="I19" s="2" t="s">
        <v>519</v>
      </c>
      <c r="K19" s="4"/>
      <c r="L19" s="9"/>
      <c r="M19" s="4"/>
      <c r="O19" s="108" t="s">
        <v>425</v>
      </c>
      <c r="P19" s="11">
        <v>2</v>
      </c>
      <c r="Q19" s="9" t="s">
        <v>532</v>
      </c>
      <c r="R19" s="11" t="s">
        <v>538</v>
      </c>
      <c r="S19" s="9" t="s">
        <v>539</v>
      </c>
      <c r="T19" s="108">
        <f>1676.4/2</f>
        <v>838.2</v>
      </c>
      <c r="U19" s="11">
        <f t="shared" si="0"/>
        <v>1676.4</v>
      </c>
    </row>
    <row r="20" spans="4:21" x14ac:dyDescent="0.35">
      <c r="D20" s="23"/>
      <c r="F20" s="6" t="s">
        <v>34</v>
      </c>
      <c r="G20" s="11">
        <f>231+1897/5265</f>
        <v>231.36030389363722</v>
      </c>
      <c r="H20" s="95" t="s">
        <v>60</v>
      </c>
      <c r="I20" s="2" t="s">
        <v>521</v>
      </c>
      <c r="K20" s="4"/>
      <c r="L20" s="9"/>
      <c r="M20" s="4"/>
      <c r="O20" s="108" t="s">
        <v>425</v>
      </c>
      <c r="P20" s="11">
        <v>3</v>
      </c>
      <c r="Q20" s="9" t="s">
        <v>532</v>
      </c>
      <c r="R20" s="11" t="s">
        <v>426</v>
      </c>
      <c r="S20" s="9" t="s">
        <v>540</v>
      </c>
      <c r="T20" s="108">
        <f>1456.4/2</f>
        <v>728.2</v>
      </c>
      <c r="U20" s="11">
        <f t="shared" si="0"/>
        <v>2184.6000000000004</v>
      </c>
    </row>
    <row r="21" spans="4:21" x14ac:dyDescent="0.35">
      <c r="D21" s="23"/>
      <c r="F21" s="6" t="s">
        <v>103</v>
      </c>
      <c r="G21" s="11">
        <f>'The Fourfold Furnace'!$K$16</f>
        <v>180.1878431372549</v>
      </c>
      <c r="H21" s="95" t="s">
        <v>505</v>
      </c>
      <c r="I21" s="2" t="s">
        <v>523</v>
      </c>
      <c r="K21" s="2"/>
      <c r="L21" s="9"/>
      <c r="M21" s="4"/>
      <c r="O21" s="108" t="s">
        <v>425</v>
      </c>
      <c r="P21" s="11">
        <v>3</v>
      </c>
      <c r="Q21" s="9" t="s">
        <v>532</v>
      </c>
      <c r="R21" s="11" t="s">
        <v>541</v>
      </c>
      <c r="S21" s="9" t="s">
        <v>540</v>
      </c>
      <c r="T21" s="108">
        <f>1711.6/2</f>
        <v>855.8</v>
      </c>
      <c r="U21" s="11">
        <f t="shared" si="0"/>
        <v>2567.3999999999996</v>
      </c>
    </row>
    <row r="22" spans="4:21" x14ac:dyDescent="0.35">
      <c r="D22" s="23"/>
      <c r="F22" s="6" t="s">
        <v>103</v>
      </c>
      <c r="G22" s="11">
        <f>101+1/15</f>
        <v>101.06666666666666</v>
      </c>
      <c r="H22" s="95" t="s">
        <v>251</v>
      </c>
      <c r="I22" s="2" t="s">
        <v>523</v>
      </c>
      <c r="K22" s="2"/>
      <c r="L22" s="9"/>
      <c r="M22" s="4"/>
      <c r="O22" s="108" t="s">
        <v>322</v>
      </c>
      <c r="P22" s="11">
        <v>1</v>
      </c>
      <c r="Q22" s="9" t="s">
        <v>532</v>
      </c>
      <c r="R22" s="11" t="s">
        <v>440</v>
      </c>
      <c r="S22" s="9" t="s">
        <v>542</v>
      </c>
      <c r="T22" s="108">
        <f>(500+1500)/2</f>
        <v>1000</v>
      </c>
      <c r="U22" s="11">
        <f t="shared" si="0"/>
        <v>1000</v>
      </c>
    </row>
    <row r="23" spans="4:21" x14ac:dyDescent="0.35">
      <c r="D23" s="23"/>
      <c r="F23" s="6" t="s">
        <v>103</v>
      </c>
      <c r="G23" s="11">
        <f>'Kaladesh Refinery'!$K$13</f>
        <v>28.745490196078421</v>
      </c>
      <c r="H23" s="95" t="s">
        <v>106</v>
      </c>
      <c r="I23" s="2" t="s">
        <v>523</v>
      </c>
      <c r="K23" s="2"/>
      <c r="L23" s="9"/>
      <c r="M23" s="4"/>
      <c r="O23" s="108" t="s">
        <v>322</v>
      </c>
      <c r="P23" s="11">
        <v>2</v>
      </c>
      <c r="Q23" s="9" t="s">
        <v>532</v>
      </c>
      <c r="R23" s="11" t="s">
        <v>440</v>
      </c>
      <c r="S23" s="9" t="s">
        <v>543</v>
      </c>
      <c r="T23" s="108">
        <f>(245.2+735.6)/2</f>
        <v>490.4</v>
      </c>
      <c r="U23" s="11">
        <f t="shared" si="0"/>
        <v>980.8</v>
      </c>
    </row>
    <row r="24" spans="4:21" x14ac:dyDescent="0.35">
      <c r="D24" s="23"/>
      <c r="F24" s="6" t="s">
        <v>61</v>
      </c>
      <c r="G24" s="11">
        <f>86+2/5</f>
        <v>86.4</v>
      </c>
      <c r="H24" s="95" t="s">
        <v>60</v>
      </c>
      <c r="I24" s="2" t="s">
        <v>521</v>
      </c>
      <c r="K24" s="2"/>
      <c r="L24" s="9"/>
      <c r="M24" s="4"/>
      <c r="O24" s="108" t="s">
        <v>322</v>
      </c>
      <c r="P24" s="11">
        <v>2</v>
      </c>
      <c r="Q24" s="9" t="s">
        <v>532</v>
      </c>
      <c r="R24" s="11" t="s">
        <v>440</v>
      </c>
      <c r="S24" s="9" t="s">
        <v>544</v>
      </c>
      <c r="T24" s="108">
        <f>(213.6+640.9)/2</f>
        <v>427.25</v>
      </c>
      <c r="U24" s="11">
        <f t="shared" si="0"/>
        <v>854.5</v>
      </c>
    </row>
    <row r="25" spans="4:21" x14ac:dyDescent="0.35">
      <c r="D25" s="23"/>
      <c r="F25" s="6" t="s">
        <v>19</v>
      </c>
      <c r="G25" s="11">
        <f>204+1084/5265</f>
        <v>204.20588793922127</v>
      </c>
      <c r="H25" s="95" t="s">
        <v>62</v>
      </c>
      <c r="I25" s="2" t="s">
        <v>521</v>
      </c>
      <c r="K25" s="2"/>
      <c r="L25" s="9"/>
      <c r="M25" s="4"/>
      <c r="O25" s="108" t="s">
        <v>322</v>
      </c>
      <c r="P25" s="11">
        <v>1</v>
      </c>
      <c r="Q25" s="9" t="s">
        <v>532</v>
      </c>
      <c r="R25" s="11" t="s">
        <v>440</v>
      </c>
      <c r="S25" s="9" t="s">
        <v>545</v>
      </c>
      <c r="T25" s="108">
        <f>(304.2+912.6)/2</f>
        <v>608.4</v>
      </c>
      <c r="U25" s="11">
        <f t="shared" si="0"/>
        <v>608.4</v>
      </c>
    </row>
    <row r="26" spans="4:21" x14ac:dyDescent="0.35">
      <c r="D26" s="23"/>
      <c r="F26" s="6" t="s">
        <v>525</v>
      </c>
      <c r="G26" s="11">
        <v>146.4</v>
      </c>
      <c r="H26" s="95" t="s">
        <v>442</v>
      </c>
      <c r="I26" s="2" t="s">
        <v>526</v>
      </c>
      <c r="K26" s="2"/>
      <c r="L26" s="9"/>
      <c r="M26" s="4"/>
      <c r="O26" s="108"/>
      <c r="P26" s="11"/>
      <c r="Q26" s="9"/>
      <c r="R26" s="11"/>
      <c r="S26" s="9"/>
      <c r="T26" s="108"/>
      <c r="U26" s="11"/>
    </row>
    <row r="27" spans="4:21" x14ac:dyDescent="0.35">
      <c r="D27" s="23"/>
      <c r="F27" s="6" t="s">
        <v>49</v>
      </c>
      <c r="G27" s="11">
        <f>71+19/75</f>
        <v>71.25333333333333</v>
      </c>
      <c r="H27" s="95" t="s">
        <v>60</v>
      </c>
      <c r="I27" s="2" t="s">
        <v>527</v>
      </c>
      <c r="K27" s="2"/>
      <c r="L27" s="9"/>
      <c r="M27" s="4"/>
      <c r="O27" s="108"/>
      <c r="P27" s="11"/>
      <c r="Q27" s="9"/>
      <c r="R27" s="11"/>
      <c r="S27" s="9"/>
      <c r="T27" s="108"/>
      <c r="U27" s="11"/>
    </row>
    <row r="28" spans="4:21" x14ac:dyDescent="0.35">
      <c r="D28" s="23"/>
      <c r="F28" s="6" t="s">
        <v>19</v>
      </c>
      <c r="G28" s="11">
        <f>47+113/225</f>
        <v>47.502222222222223</v>
      </c>
      <c r="H28" s="95" t="s">
        <v>62</v>
      </c>
      <c r="I28" s="2" t="s">
        <v>527</v>
      </c>
      <c r="K28" s="2"/>
      <c r="L28" s="9"/>
      <c r="M28" s="4"/>
      <c r="O28" s="108"/>
      <c r="P28" s="11"/>
      <c r="Q28" s="9"/>
      <c r="R28" s="11"/>
      <c r="S28" s="9"/>
      <c r="T28" s="108"/>
      <c r="U28" s="11"/>
    </row>
    <row r="29" spans="4:21" x14ac:dyDescent="0.35">
      <c r="D29" s="23"/>
      <c r="F29" s="6" t="s">
        <v>136</v>
      </c>
      <c r="G29" s="11">
        <f>356+4/15</f>
        <v>356.26666666666665</v>
      </c>
      <c r="H29" s="95" t="s">
        <v>442</v>
      </c>
      <c r="I29" s="2" t="s">
        <v>527</v>
      </c>
      <c r="K29" s="2"/>
      <c r="L29" s="9"/>
      <c r="M29" s="4"/>
      <c r="O29" s="108"/>
      <c r="P29" s="11"/>
      <c r="Q29" s="9"/>
      <c r="R29" s="11"/>
      <c r="S29" s="9"/>
      <c r="T29" s="108"/>
      <c r="U29" s="11"/>
    </row>
    <row r="30" spans="4:21" x14ac:dyDescent="0.35">
      <c r="D30" s="23"/>
      <c r="F30" s="6" t="s">
        <v>52</v>
      </c>
      <c r="G30" s="11">
        <f>113+3/15</f>
        <v>113.2</v>
      </c>
      <c r="H30" s="95" t="s">
        <v>60</v>
      </c>
      <c r="I30" s="2" t="s">
        <v>529</v>
      </c>
      <c r="K30" s="2"/>
      <c r="L30" s="9"/>
      <c r="M30" s="4"/>
      <c r="O30" s="108"/>
      <c r="P30" s="11"/>
      <c r="Q30" s="9"/>
      <c r="R30" s="11"/>
      <c r="S30" s="9"/>
      <c r="T30" s="108"/>
      <c r="U30" s="11"/>
    </row>
    <row r="31" spans="4:21" x14ac:dyDescent="0.35">
      <c r="D31" s="23"/>
      <c r="F31" s="6" t="s">
        <v>49</v>
      </c>
      <c r="G31" s="11">
        <f>99+1/25</f>
        <v>99.04</v>
      </c>
      <c r="H31" s="95" t="s">
        <v>60</v>
      </c>
      <c r="I31" s="2" t="s">
        <v>529</v>
      </c>
      <c r="K31" s="2"/>
      <c r="L31" s="9"/>
      <c r="M31" s="4"/>
      <c r="O31" s="108"/>
      <c r="P31" s="11"/>
      <c r="Q31" s="9"/>
      <c r="R31" s="11"/>
      <c r="S31" s="9"/>
      <c r="T31" s="108"/>
      <c r="U31" s="11"/>
    </row>
    <row r="32" spans="4:21" x14ac:dyDescent="0.35">
      <c r="D32" s="23"/>
      <c r="F32" s="6" t="s">
        <v>19</v>
      </c>
      <c r="G32" s="11">
        <f>179+47/75</f>
        <v>179.62666666666667</v>
      </c>
      <c r="H32" s="95" t="s">
        <v>62</v>
      </c>
      <c r="I32" s="2" t="s">
        <v>529</v>
      </c>
      <c r="K32" s="2"/>
      <c r="L32" s="9"/>
      <c r="M32" s="2"/>
      <c r="O32" s="108"/>
      <c r="P32" s="11"/>
      <c r="Q32" s="9"/>
      <c r="R32" s="11"/>
      <c r="S32" s="9"/>
      <c r="T32" s="108"/>
      <c r="U32" s="11"/>
    </row>
    <row r="33" spans="4:21" x14ac:dyDescent="0.35">
      <c r="D33" s="23"/>
      <c r="F33" s="6" t="s">
        <v>87</v>
      </c>
      <c r="G33" s="11">
        <f>52+4/5</f>
        <v>52.8</v>
      </c>
      <c r="H33" s="95" t="s">
        <v>251</v>
      </c>
      <c r="I33" s="2" t="s">
        <v>529</v>
      </c>
      <c r="K33" s="2"/>
      <c r="L33" s="9"/>
      <c r="M33" s="2"/>
      <c r="O33" s="108"/>
      <c r="P33" s="11"/>
      <c r="Q33" s="9"/>
      <c r="R33" s="11"/>
      <c r="S33" s="9"/>
      <c r="T33" s="108"/>
      <c r="U33" s="11"/>
    </row>
    <row r="34" spans="4:21" x14ac:dyDescent="0.35">
      <c r="D34" s="23"/>
      <c r="F34" s="6" t="s">
        <v>150</v>
      </c>
      <c r="G34" s="11">
        <v>40</v>
      </c>
      <c r="H34" s="95" t="s">
        <v>130</v>
      </c>
      <c r="I34" s="2" t="s">
        <v>529</v>
      </c>
      <c r="K34" s="2"/>
      <c r="L34" s="9"/>
      <c r="M34" s="2"/>
      <c r="O34" s="108"/>
      <c r="P34" s="11"/>
      <c r="Q34" s="9"/>
      <c r="R34" s="11"/>
      <c r="S34" s="9"/>
      <c r="T34" s="108"/>
      <c r="U34" s="11"/>
    </row>
    <row r="35" spans="4:21" x14ac:dyDescent="0.35">
      <c r="D35" s="23"/>
      <c r="F35" s="6" t="s">
        <v>86</v>
      </c>
      <c r="G35" s="11">
        <v>142</v>
      </c>
      <c r="H35" s="95" t="s">
        <v>442</v>
      </c>
      <c r="I35" s="2" t="s">
        <v>529</v>
      </c>
      <c r="K35" s="2"/>
      <c r="L35" s="9"/>
      <c r="M35" s="2"/>
      <c r="O35" s="108"/>
      <c r="P35" s="11"/>
      <c r="Q35" s="9"/>
      <c r="R35" s="11"/>
      <c r="S35" s="9"/>
      <c r="T35" s="108"/>
      <c r="U35" s="11"/>
    </row>
    <row r="36" spans="4:21" x14ac:dyDescent="0.35">
      <c r="D36" s="23"/>
      <c r="F36" s="6" t="s">
        <v>520</v>
      </c>
      <c r="G36" s="11">
        <f>322+17/162</f>
        <v>322.10493827160496</v>
      </c>
      <c r="H36" s="95" t="s">
        <v>60</v>
      </c>
      <c r="I36" s="2" t="s">
        <v>522</v>
      </c>
      <c r="K36" s="2"/>
      <c r="L36" s="9"/>
      <c r="M36" s="2"/>
      <c r="O36" s="108"/>
      <c r="P36" s="11"/>
      <c r="Q36" s="9"/>
      <c r="R36" s="11"/>
      <c r="S36" s="9"/>
      <c r="T36" s="108"/>
      <c r="U36" s="11"/>
    </row>
    <row r="37" spans="4:21" x14ac:dyDescent="0.35">
      <c r="D37" s="23"/>
      <c r="F37" s="6" t="s">
        <v>61</v>
      </c>
      <c r="G37" s="11">
        <f>306+1/4</f>
        <v>306.25</v>
      </c>
      <c r="H37" s="95" t="s">
        <v>60</v>
      </c>
      <c r="I37" s="2" t="s">
        <v>522</v>
      </c>
      <c r="K37" s="2"/>
      <c r="L37" s="9"/>
      <c r="M37" s="2"/>
      <c r="O37" s="108"/>
      <c r="P37" s="11"/>
      <c r="Q37" s="9"/>
      <c r="R37" s="11"/>
      <c r="S37" s="9"/>
      <c r="T37" s="108"/>
      <c r="U37" s="11"/>
    </row>
    <row r="38" spans="4:21" ht="15" thickBot="1" x14ac:dyDescent="0.4">
      <c r="D38" s="23"/>
      <c r="F38" s="6" t="s">
        <v>19</v>
      </c>
      <c r="G38" s="11">
        <f>255+5/24</f>
        <v>255.20833333333334</v>
      </c>
      <c r="H38" s="95" t="s">
        <v>62</v>
      </c>
      <c r="I38" s="2" t="s">
        <v>522</v>
      </c>
      <c r="K38" s="2"/>
      <c r="L38" s="9"/>
      <c r="M38" s="2"/>
      <c r="O38" s="109"/>
      <c r="P38" s="68"/>
      <c r="Q38" s="110"/>
      <c r="R38" s="44"/>
      <c r="S38" s="110"/>
      <c r="T38" s="109"/>
      <c r="U38" s="44"/>
    </row>
    <row r="39" spans="4:21" ht="15" thickBot="1" x14ac:dyDescent="0.4">
      <c r="D39" s="23"/>
      <c r="F39" s="6" t="s">
        <v>54</v>
      </c>
      <c r="G39" s="11">
        <f>309+1/6</f>
        <v>309.16666666666669</v>
      </c>
      <c r="H39" s="95" t="s">
        <v>442</v>
      </c>
      <c r="I39" s="2" t="s">
        <v>522</v>
      </c>
      <c r="K39" s="2"/>
      <c r="L39" s="9"/>
      <c r="M39" s="2"/>
      <c r="O39" s="47" t="s">
        <v>472</v>
      </c>
      <c r="P39" s="125">
        <f>SUM(U14:U38)</f>
        <v>18779.75</v>
      </c>
      <c r="Q39" s="126"/>
      <c r="R39" s="126"/>
      <c r="S39" s="126"/>
      <c r="T39" s="126"/>
      <c r="U39" s="146"/>
    </row>
    <row r="40" spans="4:21" x14ac:dyDescent="0.35">
      <c r="D40" s="23"/>
      <c r="F40" s="6" t="s">
        <v>52</v>
      </c>
      <c r="G40" s="11">
        <f>99</f>
        <v>99</v>
      </c>
      <c r="H40" s="95" t="s">
        <v>60</v>
      </c>
      <c r="I40" s="2" t="s">
        <v>522</v>
      </c>
      <c r="K40" s="2"/>
      <c r="L40" s="9"/>
      <c r="M40" s="2"/>
    </row>
    <row r="41" spans="4:21" x14ac:dyDescent="0.35">
      <c r="F41" s="6" t="s">
        <v>5</v>
      </c>
      <c r="G41" s="11">
        <v>38.5</v>
      </c>
      <c r="H41" s="95" t="s">
        <v>169</v>
      </c>
      <c r="I41" s="2" t="s">
        <v>522</v>
      </c>
      <c r="K41" s="2"/>
      <c r="L41" s="9"/>
      <c r="M41" s="2"/>
    </row>
    <row r="42" spans="4:21" x14ac:dyDescent="0.35">
      <c r="F42" s="6" t="s">
        <v>136</v>
      </c>
      <c r="G42" s="11">
        <v>160</v>
      </c>
      <c r="H42" s="95" t="s">
        <v>442</v>
      </c>
      <c r="I42" s="2" t="s">
        <v>449</v>
      </c>
      <c r="K42" s="2"/>
      <c r="L42" s="9"/>
      <c r="M42" s="2"/>
    </row>
    <row r="43" spans="4:21" x14ac:dyDescent="0.35">
      <c r="F43" s="6" t="s">
        <v>439</v>
      </c>
      <c r="G43" s="11">
        <v>80</v>
      </c>
      <c r="H43" s="95" t="s">
        <v>505</v>
      </c>
      <c r="I43" s="2" t="s">
        <v>449</v>
      </c>
      <c r="K43" s="2"/>
      <c r="L43" s="9"/>
      <c r="M43" s="2"/>
    </row>
    <row r="44" spans="4:21" x14ac:dyDescent="0.35">
      <c r="F44" s="6" t="s">
        <v>151</v>
      </c>
      <c r="G44" s="11">
        <v>8</v>
      </c>
      <c r="H44" s="95" t="s">
        <v>146</v>
      </c>
      <c r="I44" s="2" t="s">
        <v>532</v>
      </c>
      <c r="K44" s="2"/>
      <c r="L44" s="9"/>
      <c r="M44" s="2"/>
    </row>
    <row r="45" spans="4:21" x14ac:dyDescent="0.35">
      <c r="F45" s="6" t="s">
        <v>468</v>
      </c>
      <c r="G45" s="11">
        <v>14</v>
      </c>
      <c r="H45" s="95" t="s">
        <v>442</v>
      </c>
      <c r="I45" s="2" t="s">
        <v>532</v>
      </c>
      <c r="K45" s="2"/>
      <c r="L45" s="9"/>
      <c r="M45" s="2"/>
    </row>
    <row r="46" spans="4:21" x14ac:dyDescent="0.35">
      <c r="F46" s="6" t="s">
        <v>467</v>
      </c>
      <c r="G46" s="11">
        <f>106+1/5</f>
        <v>106.2</v>
      </c>
      <c r="H46" s="95" t="s">
        <v>130</v>
      </c>
      <c r="I46" s="2" t="s">
        <v>532</v>
      </c>
      <c r="K46" s="2"/>
      <c r="L46" s="9"/>
      <c r="M46" s="2"/>
    </row>
    <row r="47" spans="4:21" x14ac:dyDescent="0.35">
      <c r="F47" s="6"/>
      <c r="G47" s="11"/>
      <c r="H47" s="95"/>
      <c r="I47" s="2"/>
      <c r="K47" s="2"/>
      <c r="L47" s="9"/>
      <c r="M47" s="2"/>
    </row>
    <row r="48" spans="4:21" ht="15" thickBot="1" x14ac:dyDescent="0.4">
      <c r="F48" s="6"/>
      <c r="G48" s="11"/>
      <c r="H48" s="95"/>
      <c r="I48" s="2"/>
      <c r="K48" s="3"/>
      <c r="L48" s="10"/>
      <c r="M48" s="3"/>
    </row>
    <row r="49" spans="6:14" x14ac:dyDescent="0.35">
      <c r="F49" s="6"/>
      <c r="G49" s="2"/>
      <c r="H49" s="95"/>
      <c r="I49" s="2"/>
    </row>
    <row r="50" spans="6:14" ht="15" thickBot="1" x14ac:dyDescent="0.4">
      <c r="F50" s="93"/>
      <c r="G50" s="66"/>
      <c r="H50" s="96"/>
      <c r="I50" s="66"/>
    </row>
    <row r="51" spans="6:14" ht="15" thickBot="1" x14ac:dyDescent="0.4">
      <c r="F51" s="128" t="s">
        <v>472</v>
      </c>
      <c r="G51" s="129"/>
      <c r="H51" s="129"/>
      <c r="I51" s="130"/>
      <c r="K51" s="128" t="s">
        <v>472</v>
      </c>
      <c r="L51" s="129"/>
      <c r="M51" s="130"/>
      <c r="N51" s="13"/>
    </row>
    <row r="52" spans="6:14" ht="15" thickBot="1" x14ac:dyDescent="0.4">
      <c r="F52" s="14" t="s">
        <v>0</v>
      </c>
      <c r="G52" s="12" t="s">
        <v>1</v>
      </c>
      <c r="H52" s="111" t="s">
        <v>403</v>
      </c>
      <c r="I52" s="113"/>
      <c r="K52" s="47" t="s">
        <v>0</v>
      </c>
      <c r="L52" s="14" t="s">
        <v>1</v>
      </c>
      <c r="M52" s="53" t="s">
        <v>403</v>
      </c>
    </row>
    <row r="53" spans="6:14" x14ac:dyDescent="0.35">
      <c r="F53" s="4" t="s">
        <v>136</v>
      </c>
      <c r="G53" s="4">
        <f>G42+G29</f>
        <v>516.26666666666665</v>
      </c>
      <c r="H53" s="147"/>
      <c r="I53" s="148"/>
      <c r="K53" s="5"/>
      <c r="L53" s="38"/>
      <c r="M53" s="41"/>
    </row>
    <row r="54" spans="6:14" x14ac:dyDescent="0.35">
      <c r="F54" s="2" t="s">
        <v>163</v>
      </c>
      <c r="G54" s="2">
        <f>G26</f>
        <v>146.4</v>
      </c>
      <c r="H54" s="149"/>
      <c r="I54" s="150"/>
      <c r="K54" s="6"/>
      <c r="L54" s="11"/>
      <c r="M54" s="40"/>
    </row>
    <row r="55" spans="6:14" x14ac:dyDescent="0.35">
      <c r="F55" s="2" t="s">
        <v>34</v>
      </c>
      <c r="G55">
        <f>G36+G20+G17+G18</f>
        <v>1155.8122507122507</v>
      </c>
      <c r="H55" s="149"/>
      <c r="I55" s="150"/>
      <c r="K55" s="6"/>
      <c r="L55" s="11"/>
      <c r="M55" s="40"/>
    </row>
    <row r="56" spans="6:14" x14ac:dyDescent="0.35">
      <c r="F56" s="2" t="s">
        <v>19</v>
      </c>
      <c r="G56" s="2">
        <f>G38+G32+G28+G25+G19+G15</f>
        <v>1157.9414007597341</v>
      </c>
      <c r="H56" s="149"/>
      <c r="I56" s="150"/>
      <c r="K56" s="6"/>
      <c r="L56" s="11"/>
      <c r="M56" s="40"/>
    </row>
    <row r="57" spans="6:14" x14ac:dyDescent="0.35">
      <c r="F57" s="2" t="s">
        <v>61</v>
      </c>
      <c r="G57" s="11">
        <f>G37+G24</f>
        <v>392.65</v>
      </c>
      <c r="H57" s="149"/>
      <c r="I57" s="150"/>
      <c r="K57" s="6"/>
      <c r="L57" s="11"/>
      <c r="M57" s="40"/>
    </row>
    <row r="58" spans="6:14" x14ac:dyDescent="0.35">
      <c r="F58" s="2" t="s">
        <v>49</v>
      </c>
      <c r="G58" s="11">
        <f>G31+G27</f>
        <v>170.29333333333335</v>
      </c>
      <c r="H58" s="149"/>
      <c r="I58" s="150"/>
      <c r="K58" s="6"/>
      <c r="L58" s="11"/>
      <c r="M58" s="40"/>
    </row>
    <row r="59" spans="6:14" x14ac:dyDescent="0.35">
      <c r="F59" s="2" t="s">
        <v>52</v>
      </c>
      <c r="G59" s="2">
        <f>G16+G40+G30</f>
        <v>339.4</v>
      </c>
      <c r="H59" s="149"/>
      <c r="I59" s="150"/>
      <c r="K59" s="6"/>
      <c r="L59" s="11"/>
      <c r="M59" s="40"/>
    </row>
    <row r="60" spans="6:14" x14ac:dyDescent="0.35">
      <c r="F60" s="2" t="s">
        <v>103</v>
      </c>
      <c r="G60" s="2">
        <f>G23+G22+G21</f>
        <v>310</v>
      </c>
      <c r="H60" s="149" t="s">
        <v>535</v>
      </c>
      <c r="I60" s="150"/>
      <c r="K60" s="6"/>
      <c r="L60" s="11"/>
      <c r="M60" s="40"/>
    </row>
    <row r="61" spans="6:14" x14ac:dyDescent="0.35">
      <c r="F61" s="2" t="s">
        <v>87</v>
      </c>
      <c r="G61" s="2">
        <f>G33</f>
        <v>52.8</v>
      </c>
      <c r="H61" s="149"/>
      <c r="I61" s="150"/>
      <c r="K61" s="6"/>
      <c r="L61" s="11"/>
      <c r="M61" s="40"/>
    </row>
    <row r="62" spans="6:14" x14ac:dyDescent="0.35">
      <c r="F62" s="2" t="s">
        <v>54</v>
      </c>
      <c r="G62" s="2">
        <f>G39</f>
        <v>309.16666666666669</v>
      </c>
      <c r="H62" s="149"/>
      <c r="I62" s="150"/>
      <c r="K62" s="6"/>
      <c r="L62" s="11"/>
      <c r="M62" s="40"/>
    </row>
    <row r="63" spans="6:14" x14ac:dyDescent="0.35">
      <c r="F63" s="2" t="s">
        <v>5</v>
      </c>
      <c r="G63" s="2">
        <f>G41</f>
        <v>38.5</v>
      </c>
      <c r="H63" s="149"/>
      <c r="I63" s="150"/>
      <c r="K63" s="6"/>
      <c r="L63" s="11"/>
      <c r="M63" s="40"/>
    </row>
    <row r="64" spans="6:14" x14ac:dyDescent="0.35">
      <c r="F64" s="2" t="s">
        <v>468</v>
      </c>
      <c r="G64" s="2">
        <f>G45</f>
        <v>14</v>
      </c>
      <c r="H64" s="149"/>
      <c r="I64" s="150"/>
      <c r="K64" s="6"/>
      <c r="L64" s="11"/>
      <c r="M64" s="40"/>
    </row>
    <row r="65" spans="6:13" x14ac:dyDescent="0.35">
      <c r="F65" s="2" t="s">
        <v>86</v>
      </c>
      <c r="G65" s="2">
        <f>G35</f>
        <v>142</v>
      </c>
      <c r="H65" s="149"/>
      <c r="I65" s="150"/>
      <c r="K65" s="6"/>
      <c r="L65" s="11"/>
      <c r="M65" s="40"/>
    </row>
    <row r="66" spans="6:13" x14ac:dyDescent="0.35">
      <c r="F66" s="2" t="s">
        <v>20</v>
      </c>
      <c r="G66" s="2">
        <f>G14</f>
        <v>1200</v>
      </c>
      <c r="H66" s="149"/>
      <c r="I66" s="150"/>
      <c r="K66" s="6"/>
      <c r="L66" s="11"/>
      <c r="M66" s="40"/>
    </row>
    <row r="67" spans="6:13" x14ac:dyDescent="0.35">
      <c r="F67" s="2" t="s">
        <v>223</v>
      </c>
      <c r="G67" s="2">
        <f>G44</f>
        <v>8</v>
      </c>
      <c r="H67" s="149"/>
      <c r="I67" s="150"/>
      <c r="K67" s="6"/>
      <c r="L67" s="11"/>
      <c r="M67" s="40"/>
    </row>
    <row r="68" spans="6:13" x14ac:dyDescent="0.35">
      <c r="F68" s="2" t="s">
        <v>439</v>
      </c>
      <c r="G68" s="2">
        <f>G43</f>
        <v>80</v>
      </c>
      <c r="H68" s="149"/>
      <c r="I68" s="150"/>
      <c r="K68" s="6"/>
      <c r="L68" s="11"/>
      <c r="M68" s="40"/>
    </row>
    <row r="69" spans="6:13" x14ac:dyDescent="0.35">
      <c r="F69" s="2" t="s">
        <v>141</v>
      </c>
      <c r="G69" s="2">
        <f>G46</f>
        <v>106.2</v>
      </c>
      <c r="H69" s="149"/>
      <c r="I69" s="150"/>
      <c r="K69" s="6"/>
      <c r="L69" s="11"/>
      <c r="M69" s="40"/>
    </row>
    <row r="70" spans="6:13" x14ac:dyDescent="0.35">
      <c r="F70" s="2" t="s">
        <v>150</v>
      </c>
      <c r="G70" s="2">
        <f>G34</f>
        <v>40</v>
      </c>
      <c r="H70" s="149"/>
      <c r="I70" s="150"/>
      <c r="K70" s="2"/>
      <c r="L70" s="9"/>
      <c r="M70" s="2"/>
    </row>
    <row r="71" spans="6:13" ht="15" thickBot="1" x14ac:dyDescent="0.4">
      <c r="F71" s="3"/>
      <c r="G71" s="3"/>
      <c r="H71" s="151"/>
      <c r="I71" s="152"/>
      <c r="K71" s="3"/>
      <c r="L71" s="10"/>
      <c r="M71" s="3"/>
    </row>
    <row r="72" spans="6:13" x14ac:dyDescent="0.35">
      <c r="L72" s="1"/>
    </row>
  </sheetData>
  <mergeCells count="26">
    <mergeCell ref="H67:I67"/>
    <mergeCell ref="H68:I68"/>
    <mergeCell ref="H69:I69"/>
    <mergeCell ref="H70:I70"/>
    <mergeCell ref="H71:I71"/>
    <mergeCell ref="H62:I62"/>
    <mergeCell ref="H63:I63"/>
    <mergeCell ref="H64:I64"/>
    <mergeCell ref="H65:I65"/>
    <mergeCell ref="H66:I66"/>
    <mergeCell ref="H57:I57"/>
    <mergeCell ref="H58:I58"/>
    <mergeCell ref="H59:I59"/>
    <mergeCell ref="H60:I60"/>
    <mergeCell ref="H61:I61"/>
    <mergeCell ref="H52:I52"/>
    <mergeCell ref="H53:I53"/>
    <mergeCell ref="H54:I54"/>
    <mergeCell ref="H55:I55"/>
    <mergeCell ref="H56:I56"/>
    <mergeCell ref="F12:I12"/>
    <mergeCell ref="K12:M12"/>
    <mergeCell ref="F51:I51"/>
    <mergeCell ref="K51:M51"/>
    <mergeCell ref="O12:U12"/>
    <mergeCell ref="P39:U3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Material Summary</vt:lpstr>
      <vt:lpstr>Chandra Flameworks</vt:lpstr>
      <vt:lpstr>Darksteel Forge</vt:lpstr>
      <vt:lpstr>Oran-Rief Mines</vt:lpstr>
      <vt:lpstr>Xantcha's Crucible</vt:lpstr>
      <vt:lpstr>Thran Foundry</vt:lpstr>
      <vt:lpstr>Neko's Nexus</vt:lpstr>
      <vt:lpstr>Ketria Crystals</vt:lpstr>
      <vt:lpstr>Ghirapur Gridworks</vt:lpstr>
      <vt:lpstr>The Abyssal Chains of Shandalar</vt:lpstr>
      <vt:lpstr>Kaladesh Refinery</vt:lpstr>
      <vt:lpstr>Riveteers District</vt:lpstr>
      <vt:lpstr>Phyrexian Datavault</vt:lpstr>
      <vt:lpstr>Jund Pyroclast</vt:lpstr>
      <vt:lpstr>Keldon Armory</vt:lpstr>
      <vt:lpstr>Urabrask's Refinery</vt:lpstr>
      <vt:lpstr>Obelisks of Alara </vt:lpstr>
      <vt:lpstr>Karn's Conduit</vt:lpstr>
      <vt:lpstr>Thassa's Pulse</vt:lpstr>
      <vt:lpstr>Tollarian Meltdown</vt:lpstr>
      <vt:lpstr>The Mirrodin Trigon</vt:lpstr>
      <vt:lpstr>Simic Subline</vt:lpstr>
      <vt:lpstr>Aetherflux Reactor</vt:lpstr>
      <vt:lpstr>Ydris’ Nexus</vt:lpstr>
      <vt:lpstr>The Fourfold Furnace</vt:lpstr>
      <vt:lpstr>The Interplanar Beacon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Casime Nicolas</dc:creator>
  <cp:lastModifiedBy>Casime, Nicolas (EXT) (YU APAC AU SBD)</cp:lastModifiedBy>
  <dcterms:created xsi:type="dcterms:W3CDTF">2024-10-22T08:21:00Z</dcterms:created>
  <dcterms:modified xsi:type="dcterms:W3CDTF">2026-04-12T01:26:36Z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b841393-e171-48c1-bf44-6431e01ab6ae_Enabled">
    <vt:lpwstr>true</vt:lpwstr>
  </property>
  <property fmtid="{D5CDD505-2E9C-101B-9397-08002B2CF9AE}" pid="3" name="MSIP_Label_ab841393-e171-48c1-bf44-6431e01ab6ae_SetDate">
    <vt:lpwstr>2026-04-09T08:00:04Z</vt:lpwstr>
  </property>
  <property fmtid="{D5CDD505-2E9C-101B-9397-08002B2CF9AE}" pid="4" name="MSIP_Label_ab841393-e171-48c1-bf44-6431e01ab6ae_Method">
    <vt:lpwstr>Standard</vt:lpwstr>
  </property>
  <property fmtid="{D5CDD505-2E9C-101B-9397-08002B2CF9AE}" pid="5" name="MSIP_Label_ab841393-e171-48c1-bf44-6431e01ab6ae_Name">
    <vt:lpwstr>C1-Restricted</vt:lpwstr>
  </property>
  <property fmtid="{D5CDD505-2E9C-101B-9397-08002B2CF9AE}" pid="6" name="MSIP_Label_ab841393-e171-48c1-bf44-6431e01ab6ae_SiteId">
    <vt:lpwstr>fffdf13b-2fe7-4bd1-aabc-04c6182ce4c2</vt:lpwstr>
  </property>
  <property fmtid="{D5CDD505-2E9C-101B-9397-08002B2CF9AE}" pid="7" name="MSIP_Label_ab841393-e171-48c1-bf44-6431e01ab6ae_ActionId">
    <vt:lpwstr>e0941ba5-0503-4e01-b4a6-66045ad9d1f3</vt:lpwstr>
  </property>
  <property fmtid="{D5CDD505-2E9C-101B-9397-08002B2CF9AE}" pid="8" name="MSIP_Label_ab841393-e171-48c1-bf44-6431e01ab6ae_ContentBits">
    <vt:lpwstr>0</vt:lpwstr>
  </property>
  <property fmtid="{D5CDD505-2E9C-101B-9397-08002B2CF9AE}" pid="9" name="MSIP_Label_ab841393-e171-48c1-bf44-6431e01ab6ae_Tag">
    <vt:lpwstr>10, 3, 0, 1</vt:lpwstr>
  </property>
</Properties>
</file>